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afio 21 Pregões" sheetId="1" state="visible" r:id="rId3"/>
    <sheet name="Sobre" sheetId="2" state="visible" r:id="rId4"/>
  </sheets>
  <definedNames>
    <definedName function="false" hidden="false" localSheetId="0" name="_xlnm.Print_Area" vbProcedure="false">'Desafio 21 Pregões'!$A$1:$I$46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<sst xmlns="http://schemas.openxmlformats.org/spreadsheetml/2006/main" count="30" uniqueCount="30">
  <si>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DESAFIO 21 PREGÕES — Morning do Trader</t>
  </si>
  <si>
    <t xml:space="preserve">Preencha as células em azul. O resto (risco assumido, se você respeitou as regras e o resultado acumulado) é calculado sozinho.</t>
  </si>
  <si>
    <t xml:space="preserve">PARÂMETROS DO DESAFIO</t>
  </si>
  <si>
    <t xml:space="preserve">Nome do trader</t>
  </si>
  <si>
    <t xml:space="preserve">Ativo operado</t>
  </si>
  <si>
    <t xml:space="preserve">Mini Índice</t>
  </si>
  <si>
    <t xml:space="preserve">Capital da conta (R$)</t>
  </si>
  <si>
    <t xml:space="preserve">Risco máximo por operação (% do capital)</t>
  </si>
  <si>
    <t xml:space="preserve">Limite de perda diário (% do capital)</t>
  </si>
  <si>
    <t xml:space="preserve">Valor do ponto (automático)</t>
  </si>
  <si>
    <t xml:space="preserve">Risco máximo por operação (R$)</t>
  </si>
  <si>
    <t xml:space="preserve">Limite de perda diário (R$)</t>
  </si>
  <si>
    <t xml:space="preserve">Legenda: azul = célula pra você preencher · preto = calculado automaticamente. "Risco assumido" = Contratos × Distância do stop (pontos) × Valor do ponto.</t>
  </si>
  <si>
    <t xml:space="preserve">Pregão</t>
  </si>
  <si>
    <t xml:space="preserve">Data</t>
  </si>
  <si>
    <t xml:space="preserve">Contratos
operados</t>
  </si>
  <si>
    <t xml:space="preserve">Distância
do stop (pts)</t>
  </si>
  <si>
    <t xml:space="preserve">Resultado
do dia (R$)</t>
  </si>
  <si>
    <t xml:space="preserve">Risco
assumido (R$)</t>
  </si>
  <si>
    <t xml:space="preserve">Respeitou o
risco máximo?</t>
  </si>
  <si>
    <t xml:space="preserve">Respeitou o
limite diário?</t>
  </si>
  <si>
    <t xml:space="preserve">Dia
íntegro?</t>
  </si>
  <si>
    <t xml:space="preserve">Ex.</t>
  </si>
  <si>
    <t xml:space="preserve">RESULTADO DO DESAFIO</t>
  </si>
  <si>
    <t xml:space="preserve">Dias íntegros (sem violação de risco)</t>
  </si>
  <si>
    <t xml:space="preserve">Resultado acumulado no desafio (R$)</t>
  </si>
  <si>
    <t xml:space="preserve">Status</t>
  </si>
  <si>
    <t xml:space="preserve">Importante: uma única violação (de risco por operação ou de limite diário) já quebra o desafio — o objetivo é treinar disciplina, não só acumular resultado positivo.</t>
  </si>
  <si>
    <t xml:space="preserve">SOBRE O DESAFIO 21 PREGÕES</t>
  </si>
  <si>
    <t xml:space="preserve">Morning do Trader
Como funciona: opere 21 pregões (dias de mercado) seguidos aplicando as regras de risco do Guia de Gestão de Risco e da Planilha do Trader — risco máximo por operação e limite diário de perda, definidos como % do seu capital. Em cada dia, registre quantos contratos operou, a distância do stop em pontos e o resultado financeiro do dia. A planilha calcula sozinha, a partir desses dados, se você respeitou o risco máximo por operação e o limite diário — não é um checklist de honestidade, é conta.
Uma única violação de risco quebra o desafio no dia em que ela aconteceu. O objetivo não é só fechar no positivo: é passar 21 pregões seguidos sem nenhuma vez estourar o risco que você mesmo definiu.
Prêmio: quem completar os 21 pregões sem nenhuma violação das regras de risco ganha 6 meses de acesso ao Painel do Trader.
Baixado gratuitamente em morningdotrader.com.br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</si>
</sst>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0.0%"/>
    <numFmt numFmtId="167" formatCode="dd/mm/yyyy"/>
    <numFmt numFmtId="168" formatCode="&quot;R$ &quot;#,##0.00;[RED]&quot;-R$ &quot;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99999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2E5395"/>
        <bgColor rgb="FF1F4E78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4E78"/>
      <rgbColor rgb="FF339966"/>
      <rgbColor rgb="FF003300"/>
      <rgbColor rgb="FF333300"/>
      <rgbColor rgb="FF993300"/>
      <rgbColor rgb="FF993366"/>
      <rgbColor rgb="FF2E539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3"/>
    <col collapsed="false" customWidth="true" hidden="false" outlineLevel="0" max="6" min="4" style="0" width="15"/>
    <col collapsed="false" customWidth="true" hidden="false" outlineLevel="0" max="8" min="7" style="0" width="16"/>
    <col collapsed="false" customWidth="true" hidden="false" outlineLevel="0" max="9" min="9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4" t="s">
        <v>3</v>
      </c>
      <c r="B6" s="4"/>
      <c r="C6" s="4"/>
      <c r="D6" s="5"/>
    </row>
    <row r="7" customFormat="false" ht="15" hidden="false" customHeight="false" outlineLevel="0" collapsed="false">
      <c r="A7" s="4" t="s">
        <v>4</v>
      </c>
      <c r="B7" s="4"/>
      <c r="C7" s="4"/>
      <c r="D7" s="5" t="s">
        <v>5</v>
      </c>
    </row>
    <row r="8" customFormat="false" ht="15" hidden="false" customHeight="false" outlineLevel="0" collapsed="false">
      <c r="A8" s="4" t="s">
        <v>6</v>
      </c>
      <c r="B8" s="4"/>
      <c r="C8" s="4"/>
      <c r="D8" s="6" t="n">
        <v>5000</v>
      </c>
    </row>
    <row r="9" customFormat="false" ht="15" hidden="false" customHeight="false" outlineLevel="0" collapsed="false">
      <c r="A9" s="4" t="s">
        <v>7</v>
      </c>
      <c r="B9" s="4"/>
      <c r="C9" s="4"/>
      <c r="D9" s="7" t="n">
        <v>0.01</v>
      </c>
    </row>
    <row r="10" customFormat="false" ht="15" hidden="false" customHeight="false" outlineLevel="0" collapsed="false">
      <c r="A10" s="4" t="s">
        <v>8</v>
      </c>
      <c r="B10" s="4"/>
      <c r="C10" s="4"/>
      <c r="D10" s="7" t="n">
        <v>0.02</v>
      </c>
    </row>
    <row r="12" customFormat="false" ht="15" hidden="false" customHeight="false" outlineLevel="0" collapsed="false">
      <c r="A12" s="8" t="s">
        <v>9</v>
      </c>
      <c r="B12" s="8"/>
      <c r="C12" s="8"/>
      <c r="D12" s="9" t="n">
        <f aca="false">IF(D7="Mini Índice",0.2,10)</f>
        <v>0.2</v>
      </c>
    </row>
    <row r="13" customFormat="false" ht="15" hidden="false" customHeight="false" outlineLevel="0" collapsed="false">
      <c r="A13" s="8" t="s">
        <v>10</v>
      </c>
      <c r="B13" s="8"/>
      <c r="C13" s="8"/>
      <c r="D13" s="9" t="n">
        <f aca="false">D8*D9</f>
        <v>50</v>
      </c>
    </row>
    <row r="14" customFormat="false" ht="15" hidden="false" customHeight="false" outlineLevel="0" collapsed="false">
      <c r="A14" s="8" t="s">
        <v>11</v>
      </c>
      <c r="B14" s="8"/>
      <c r="C14" s="8"/>
      <c r="D14" s="9" t="n">
        <f aca="false">D8*D10</f>
        <v>100</v>
      </c>
    </row>
    <row r="16" customFormat="false" ht="27.75" hidden="false" customHeight="true" outlineLevel="0" collapsed="false">
      <c r="A16" s="10" t="s">
        <v>12</v>
      </c>
      <c r="B16" s="10"/>
      <c r="C16" s="10"/>
      <c r="D16" s="10"/>
      <c r="E16" s="10"/>
      <c r="F16" s="10"/>
      <c r="G16" s="10"/>
      <c r="H16" s="10"/>
      <c r="I16" s="10"/>
    </row>
    <row r="18" customFormat="false" ht="31.5" hidden="false" customHeight="true" outlineLevel="0" collapsed="false">
      <c r="A18" s="11" t="s">
        <v>13</v>
      </c>
      <c r="B18" s="11" t="s">
        <v>14</v>
      </c>
      <c r="C18" s="11" t="s">
        <v>15</v>
      </c>
      <c r="D18" s="11" t="s">
        <v>16</v>
      </c>
      <c r="E18" s="11" t="s">
        <v>17</v>
      </c>
      <c r="F18" s="11" t="s">
        <v>18</v>
      </c>
      <c r="G18" s="11" t="s">
        <v>19</v>
      </c>
      <c r="H18" s="11" t="s">
        <v>20</v>
      </c>
      <c r="I18" s="11" t="s">
        <v>21</v>
      </c>
    </row>
    <row r="19" customFormat="false" ht="15" hidden="false" customHeight="false" outlineLevel="0" collapsed="false">
      <c r="A19" s="12" t="s">
        <v>22</v>
      </c>
      <c r="B19" s="13" t="n">
        <v>46286</v>
      </c>
      <c r="C19" s="14" t="n">
        <v>2</v>
      </c>
      <c r="D19" s="14" t="n">
        <v>120</v>
      </c>
      <c r="E19" s="15" t="n">
        <v>180</v>
      </c>
      <c r="F19" s="9" t="n">
        <f aca="false">IF(OR(C19="",D19=""),"",C19*D19*$D$12)</f>
        <v>48</v>
      </c>
      <c r="G19" s="16" t="str">
        <f aca="false">IF(F19="","",IF(F19&lt;=$D$13,"✅ Sim","❌ Não"))</f>
        <v>✅ Sim</v>
      </c>
      <c r="H19" s="16" t="str">
        <f aca="false">IF(E19="","",IF(E19&gt;=0,"✅ Sim",IF(-E19&lt;=$D$14,"✅ Sim","❌ Não")))</f>
        <v>✅ Sim</v>
      </c>
      <c r="I19" s="17" t="str">
        <f aca="false">IF(OR(G19="",H19=""),"",IF(AND(G19="✅ Sim",H19="✅ Sim"),"✅","❌"))</f>
        <v>✅</v>
      </c>
    </row>
    <row r="20" customFormat="false" ht="15" hidden="false" customHeight="false" outlineLevel="0" collapsed="false">
      <c r="A20" s="18" t="n">
        <v>2</v>
      </c>
      <c r="B20" s="19"/>
      <c r="C20" s="20"/>
      <c r="D20" s="20"/>
      <c r="E20" s="21"/>
      <c r="F20" s="22" t="str">
        <f aca="false">IF(OR(C20="",D20=""),"",C20*D20*$D$12)</f>
        <v/>
      </c>
      <c r="G20" s="18" t="str">
        <f aca="false">IF(F20="","",IF(F20&lt;=$D$13,"✅ Sim","❌ Não"))</f>
        <v/>
      </c>
      <c r="H20" s="18" t="str">
        <f aca="false">IF(E20="","",IF(E20&gt;=0,"✅ Sim",IF(-E20&lt;=$D$14,"✅ Sim","❌ Não")))</f>
        <v/>
      </c>
      <c r="I20" s="23" t="str">
        <f aca="false">IF(OR(G20="",H20=""),"",IF(AND(G20="✅ Sim",H20="✅ Sim"),"✅","❌"))</f>
        <v/>
      </c>
    </row>
    <row r="21" customFormat="false" ht="15" hidden="false" customHeight="false" outlineLevel="0" collapsed="false">
      <c r="A21" s="16" t="n">
        <v>3</v>
      </c>
      <c r="B21" s="13"/>
      <c r="C21" s="14"/>
      <c r="D21" s="14"/>
      <c r="E21" s="15"/>
      <c r="F21" s="9" t="str">
        <f aca="false">IF(OR(C21="",D21=""),"",C21*D21*$D$12)</f>
        <v/>
      </c>
      <c r="G21" s="16" t="str">
        <f aca="false">IF(F21="","",IF(F21&lt;=$D$13,"✅ Sim","❌ Não"))</f>
        <v/>
      </c>
      <c r="H21" s="16" t="str">
        <f aca="false">IF(E21="","",IF(E21&gt;=0,"✅ Sim",IF(-E21&lt;=$D$14,"✅ Sim","❌ Não")))</f>
        <v/>
      </c>
      <c r="I21" s="17" t="str">
        <f aca="false">IF(OR(G21="",H21=""),"",IF(AND(G21="✅ Sim",H21="✅ Sim"),"✅","❌"))</f>
        <v/>
      </c>
    </row>
    <row r="22" customFormat="false" ht="15" hidden="false" customHeight="false" outlineLevel="0" collapsed="false">
      <c r="A22" s="18" t="n">
        <v>4</v>
      </c>
      <c r="B22" s="19"/>
      <c r="C22" s="20"/>
      <c r="D22" s="20"/>
      <c r="E22" s="21"/>
      <c r="F22" s="22" t="str">
        <f aca="false">IF(OR(C22="",D22=""),"",C22*D22*$D$12)</f>
        <v/>
      </c>
      <c r="G22" s="18" t="str">
        <f aca="false">IF(F22="","",IF(F22&lt;=$D$13,"✅ Sim","❌ Não"))</f>
        <v/>
      </c>
      <c r="H22" s="18" t="str">
        <f aca="false">IF(E22="","",IF(E22&gt;=0,"✅ Sim",IF(-E22&lt;=$D$14,"✅ Sim","❌ Não")))</f>
        <v/>
      </c>
      <c r="I22" s="23" t="str">
        <f aca="false">IF(OR(G22="",H22=""),"",IF(AND(G22="✅ Sim",H22="✅ Sim"),"✅","❌"))</f>
        <v/>
      </c>
    </row>
    <row r="23" customFormat="false" ht="15" hidden="false" customHeight="false" outlineLevel="0" collapsed="false">
      <c r="A23" s="16" t="n">
        <v>5</v>
      </c>
      <c r="B23" s="13"/>
      <c r="C23" s="14"/>
      <c r="D23" s="14"/>
      <c r="E23" s="15"/>
      <c r="F23" s="9" t="str">
        <f aca="false">IF(OR(C23="",D23=""),"",C23*D23*$D$12)</f>
        <v/>
      </c>
      <c r="G23" s="16" t="str">
        <f aca="false">IF(F23="","",IF(F23&lt;=$D$13,"✅ Sim","❌ Não"))</f>
        <v/>
      </c>
      <c r="H23" s="16" t="str">
        <f aca="false">IF(E23="","",IF(E23&gt;=0,"✅ Sim",IF(-E23&lt;=$D$14,"✅ Sim","❌ Não")))</f>
        <v/>
      </c>
      <c r="I23" s="17" t="str">
        <f aca="false">IF(OR(G23="",H23=""),"",IF(AND(G23="✅ Sim",H23="✅ Sim"),"✅","❌"))</f>
        <v/>
      </c>
    </row>
    <row r="24" customFormat="false" ht="15" hidden="false" customHeight="false" outlineLevel="0" collapsed="false">
      <c r="A24" s="18" t="n">
        <v>6</v>
      </c>
      <c r="B24" s="19"/>
      <c r="C24" s="20"/>
      <c r="D24" s="20"/>
      <c r="E24" s="21"/>
      <c r="F24" s="22" t="str">
        <f aca="false">IF(OR(C24="",D24=""),"",C24*D24*$D$12)</f>
        <v/>
      </c>
      <c r="G24" s="18" t="str">
        <f aca="false">IF(F24="","",IF(F24&lt;=$D$13,"✅ Sim","❌ Não"))</f>
        <v/>
      </c>
      <c r="H24" s="18" t="str">
        <f aca="false">IF(E24="","",IF(E24&gt;=0,"✅ Sim",IF(-E24&lt;=$D$14,"✅ Sim","❌ Não")))</f>
        <v/>
      </c>
      <c r="I24" s="23" t="str">
        <f aca="false">IF(OR(G24="",H24=""),"",IF(AND(G24="✅ Sim",H24="✅ Sim"),"✅","❌"))</f>
        <v/>
      </c>
    </row>
    <row r="25" customFormat="false" ht="15" hidden="false" customHeight="false" outlineLevel="0" collapsed="false">
      <c r="A25" s="16" t="n">
        <v>7</v>
      </c>
      <c r="B25" s="13"/>
      <c r="C25" s="14"/>
      <c r="D25" s="14"/>
      <c r="E25" s="15"/>
      <c r="F25" s="9" t="str">
        <f aca="false">IF(OR(C25="",D25=""),"",C25*D25*$D$12)</f>
        <v/>
      </c>
      <c r="G25" s="16" t="str">
        <f aca="false">IF(F25="","",IF(F25&lt;=$D$13,"✅ Sim","❌ Não"))</f>
        <v/>
      </c>
      <c r="H25" s="16" t="str">
        <f aca="false">IF(E25="","",IF(E25&gt;=0,"✅ Sim",IF(-E25&lt;=$D$14,"✅ Sim","❌ Não")))</f>
        <v/>
      </c>
      <c r="I25" s="17" t="str">
        <f aca="false">IF(OR(G25="",H25=""),"",IF(AND(G25="✅ Sim",H25="✅ Sim"),"✅","❌"))</f>
        <v/>
      </c>
    </row>
    <row r="26" customFormat="false" ht="15" hidden="false" customHeight="false" outlineLevel="0" collapsed="false">
      <c r="A26" s="18" t="n">
        <v>8</v>
      </c>
      <c r="B26" s="19"/>
      <c r="C26" s="20"/>
      <c r="D26" s="20"/>
      <c r="E26" s="21"/>
      <c r="F26" s="22" t="str">
        <f aca="false">IF(OR(C26="",D26=""),"",C26*D26*$D$12)</f>
        <v/>
      </c>
      <c r="G26" s="18" t="str">
        <f aca="false">IF(F26="","",IF(F26&lt;=$D$13,"✅ Sim","❌ Não"))</f>
        <v/>
      </c>
      <c r="H26" s="18" t="str">
        <f aca="false">IF(E26="","",IF(E26&gt;=0,"✅ Sim",IF(-E26&lt;=$D$14,"✅ Sim","❌ Não")))</f>
        <v/>
      </c>
      <c r="I26" s="23" t="str">
        <f aca="false">IF(OR(G26="",H26=""),"",IF(AND(G26="✅ Sim",H26="✅ Sim"),"✅","❌"))</f>
        <v/>
      </c>
    </row>
    <row r="27" customFormat="false" ht="15" hidden="false" customHeight="false" outlineLevel="0" collapsed="false">
      <c r="A27" s="16" t="n">
        <v>9</v>
      </c>
      <c r="B27" s="13"/>
      <c r="C27" s="14"/>
      <c r="D27" s="14"/>
      <c r="E27" s="15"/>
      <c r="F27" s="9" t="str">
        <f aca="false">IF(OR(C27="",D27=""),"",C27*D27*$D$12)</f>
        <v/>
      </c>
      <c r="G27" s="16" t="str">
        <f aca="false">IF(F27="","",IF(F27&lt;=$D$13,"✅ Sim","❌ Não"))</f>
        <v/>
      </c>
      <c r="H27" s="16" t="str">
        <f aca="false">IF(E27="","",IF(E27&gt;=0,"✅ Sim",IF(-E27&lt;=$D$14,"✅ Sim","❌ Não")))</f>
        <v/>
      </c>
      <c r="I27" s="17" t="str">
        <f aca="false">IF(OR(G27="",H27=""),"",IF(AND(G27="✅ Sim",H27="✅ Sim"),"✅","❌"))</f>
        <v/>
      </c>
    </row>
    <row r="28" customFormat="false" ht="15" hidden="false" customHeight="false" outlineLevel="0" collapsed="false">
      <c r="A28" s="18" t="n">
        <v>10</v>
      </c>
      <c r="B28" s="19"/>
      <c r="C28" s="20"/>
      <c r="D28" s="20"/>
      <c r="E28" s="21"/>
      <c r="F28" s="22" t="str">
        <f aca="false">IF(OR(C28="",D28=""),"",C28*D28*$D$12)</f>
        <v/>
      </c>
      <c r="G28" s="18" t="str">
        <f aca="false">IF(F28="","",IF(F28&lt;=$D$13,"✅ Sim","❌ Não"))</f>
        <v/>
      </c>
      <c r="H28" s="18" t="str">
        <f aca="false">IF(E28="","",IF(E28&gt;=0,"✅ Sim",IF(-E28&lt;=$D$14,"✅ Sim","❌ Não")))</f>
        <v/>
      </c>
      <c r="I28" s="23" t="str">
        <f aca="false">IF(OR(G28="",H28=""),"",IF(AND(G28="✅ Sim",H28="✅ Sim"),"✅","❌"))</f>
        <v/>
      </c>
    </row>
    <row r="29" customFormat="false" ht="15" hidden="false" customHeight="false" outlineLevel="0" collapsed="false">
      <c r="A29" s="16" t="n">
        <v>11</v>
      </c>
      <c r="B29" s="13"/>
      <c r="C29" s="14"/>
      <c r="D29" s="14"/>
      <c r="E29" s="15"/>
      <c r="F29" s="9" t="str">
        <f aca="false">IF(OR(C29="",D29=""),"",C29*D29*$D$12)</f>
        <v/>
      </c>
      <c r="G29" s="16" t="str">
        <f aca="false">IF(F29="","",IF(F29&lt;=$D$13,"✅ Sim","❌ Não"))</f>
        <v/>
      </c>
      <c r="H29" s="16" t="str">
        <f aca="false">IF(E29="","",IF(E29&gt;=0,"✅ Sim",IF(-E29&lt;=$D$14,"✅ Sim","❌ Não")))</f>
        <v/>
      </c>
      <c r="I29" s="17" t="str">
        <f aca="false">IF(OR(G29="",H29=""),"",IF(AND(G29="✅ Sim",H29="✅ Sim"),"✅","❌"))</f>
        <v/>
      </c>
    </row>
    <row r="30" customFormat="false" ht="15" hidden="false" customHeight="false" outlineLevel="0" collapsed="false">
      <c r="A30" s="18" t="n">
        <v>12</v>
      </c>
      <c r="B30" s="19"/>
      <c r="C30" s="20"/>
      <c r="D30" s="20"/>
      <c r="E30" s="21"/>
      <c r="F30" s="22" t="str">
        <f aca="false">IF(OR(C30="",D30=""),"",C30*D30*$D$12)</f>
        <v/>
      </c>
      <c r="G30" s="18" t="str">
        <f aca="false">IF(F30="","",IF(F30&lt;=$D$13,"✅ Sim","❌ Não"))</f>
        <v/>
      </c>
      <c r="H30" s="18" t="str">
        <f aca="false">IF(E30="","",IF(E30&gt;=0,"✅ Sim",IF(-E30&lt;=$D$14,"✅ Sim","❌ Não")))</f>
        <v/>
      </c>
      <c r="I30" s="23" t="str">
        <f aca="false">IF(OR(G30="",H30=""),"",IF(AND(G30="✅ Sim",H30="✅ Sim"),"✅","❌"))</f>
        <v/>
      </c>
    </row>
    <row r="31" customFormat="false" ht="15" hidden="false" customHeight="false" outlineLevel="0" collapsed="false">
      <c r="A31" s="16" t="n">
        <v>13</v>
      </c>
      <c r="B31" s="13"/>
      <c r="C31" s="14"/>
      <c r="D31" s="14"/>
      <c r="E31" s="15"/>
      <c r="F31" s="9" t="str">
        <f aca="false">IF(OR(C31="",D31=""),"",C31*D31*$D$12)</f>
        <v/>
      </c>
      <c r="G31" s="16" t="str">
        <f aca="false">IF(F31="","",IF(F31&lt;=$D$13,"✅ Sim","❌ Não"))</f>
        <v/>
      </c>
      <c r="H31" s="16" t="str">
        <f aca="false">IF(E31="","",IF(E31&gt;=0,"✅ Sim",IF(-E31&lt;=$D$14,"✅ Sim","❌ Não")))</f>
        <v/>
      </c>
      <c r="I31" s="17" t="str">
        <f aca="false">IF(OR(G31="",H31=""),"",IF(AND(G31="✅ Sim",H31="✅ Sim"),"✅","❌"))</f>
        <v/>
      </c>
    </row>
    <row r="32" customFormat="false" ht="15" hidden="false" customHeight="false" outlineLevel="0" collapsed="false">
      <c r="A32" s="18" t="n">
        <v>14</v>
      </c>
      <c r="B32" s="19"/>
      <c r="C32" s="20"/>
      <c r="D32" s="20"/>
      <c r="E32" s="21"/>
      <c r="F32" s="22" t="str">
        <f aca="false">IF(OR(C32="",D32=""),"",C32*D32*$D$12)</f>
        <v/>
      </c>
      <c r="G32" s="18" t="str">
        <f aca="false">IF(F32="","",IF(F32&lt;=$D$13,"✅ Sim","❌ Não"))</f>
        <v/>
      </c>
      <c r="H32" s="18" t="str">
        <f aca="false">IF(E32="","",IF(E32&gt;=0,"✅ Sim",IF(-E32&lt;=$D$14,"✅ Sim","❌ Não")))</f>
        <v/>
      </c>
      <c r="I32" s="23" t="str">
        <f aca="false">IF(OR(G32="",H32=""),"",IF(AND(G32="✅ Sim",H32="✅ Sim"),"✅","❌"))</f>
        <v/>
      </c>
    </row>
    <row r="33" customFormat="false" ht="15" hidden="false" customHeight="false" outlineLevel="0" collapsed="false">
      <c r="A33" s="16" t="n">
        <v>15</v>
      </c>
      <c r="B33" s="13"/>
      <c r="C33" s="14"/>
      <c r="D33" s="14"/>
      <c r="E33" s="15"/>
      <c r="F33" s="9" t="str">
        <f aca="false">IF(OR(C33="",D33=""),"",C33*D33*$D$12)</f>
        <v/>
      </c>
      <c r="G33" s="16" t="str">
        <f aca="false">IF(F33="","",IF(F33&lt;=$D$13,"✅ Sim","❌ Não"))</f>
        <v/>
      </c>
      <c r="H33" s="16" t="str">
        <f aca="false">IF(E33="","",IF(E33&gt;=0,"✅ Sim",IF(-E33&lt;=$D$14,"✅ Sim","❌ Não")))</f>
        <v/>
      </c>
      <c r="I33" s="17" t="str">
        <f aca="false">IF(OR(G33="",H33=""),"",IF(AND(G33="✅ Sim",H33="✅ Sim"),"✅","❌"))</f>
        <v/>
      </c>
    </row>
    <row r="34" customFormat="false" ht="15" hidden="false" customHeight="false" outlineLevel="0" collapsed="false">
      <c r="A34" s="18" t="n">
        <v>16</v>
      </c>
      <c r="B34" s="19"/>
      <c r="C34" s="20"/>
      <c r="D34" s="20"/>
      <c r="E34" s="21"/>
      <c r="F34" s="22" t="str">
        <f aca="false">IF(OR(C34="",D34=""),"",C34*D34*$D$12)</f>
        <v/>
      </c>
      <c r="G34" s="18" t="str">
        <f aca="false">IF(F34="","",IF(F34&lt;=$D$13,"✅ Sim","❌ Não"))</f>
        <v/>
      </c>
      <c r="H34" s="18" t="str">
        <f aca="false">IF(E34="","",IF(E34&gt;=0,"✅ Sim",IF(-E34&lt;=$D$14,"✅ Sim","❌ Não")))</f>
        <v/>
      </c>
      <c r="I34" s="23" t="str">
        <f aca="false">IF(OR(G34="",H34=""),"",IF(AND(G34="✅ Sim",H34="✅ Sim"),"✅","❌"))</f>
        <v/>
      </c>
    </row>
    <row r="35" customFormat="false" ht="15" hidden="false" customHeight="false" outlineLevel="0" collapsed="false">
      <c r="A35" s="16" t="n">
        <v>17</v>
      </c>
      <c r="B35" s="13"/>
      <c r="C35" s="14"/>
      <c r="D35" s="14"/>
      <c r="E35" s="15"/>
      <c r="F35" s="9" t="str">
        <f aca="false">IF(OR(C35="",D35=""),"",C35*D35*$D$12)</f>
        <v/>
      </c>
      <c r="G35" s="16" t="str">
        <f aca="false">IF(F35="","",IF(F35&lt;=$D$13,"✅ Sim","❌ Não"))</f>
        <v/>
      </c>
      <c r="H35" s="16" t="str">
        <f aca="false">IF(E35="","",IF(E35&gt;=0,"✅ Sim",IF(-E35&lt;=$D$14,"✅ Sim","❌ Não")))</f>
        <v/>
      </c>
      <c r="I35" s="17" t="str">
        <f aca="false">IF(OR(G35="",H35=""),"",IF(AND(G35="✅ Sim",H35="✅ Sim"),"✅","❌"))</f>
        <v/>
      </c>
    </row>
    <row r="36" customFormat="false" ht="15" hidden="false" customHeight="false" outlineLevel="0" collapsed="false">
      <c r="A36" s="18" t="n">
        <v>18</v>
      </c>
      <c r="B36" s="19"/>
      <c r="C36" s="20"/>
      <c r="D36" s="20"/>
      <c r="E36" s="21"/>
      <c r="F36" s="22" t="str">
        <f aca="false">IF(OR(C36="",D36=""),"",C36*D36*$D$12)</f>
        <v/>
      </c>
      <c r="G36" s="18" t="str">
        <f aca="false">IF(F36="","",IF(F36&lt;=$D$13,"✅ Sim","❌ Não"))</f>
        <v/>
      </c>
      <c r="H36" s="18" t="str">
        <f aca="false">IF(E36="","",IF(E36&gt;=0,"✅ Sim",IF(-E36&lt;=$D$14,"✅ Sim","❌ Não")))</f>
        <v/>
      </c>
      <c r="I36" s="23" t="str">
        <f aca="false">IF(OR(G36="",H36=""),"",IF(AND(G36="✅ Sim",H36="✅ Sim"),"✅","❌"))</f>
        <v/>
      </c>
    </row>
    <row r="37" customFormat="false" ht="15" hidden="false" customHeight="false" outlineLevel="0" collapsed="false">
      <c r="A37" s="16" t="n">
        <v>19</v>
      </c>
      <c r="B37" s="13"/>
      <c r="C37" s="14"/>
      <c r="D37" s="14"/>
      <c r="E37" s="15"/>
      <c r="F37" s="9" t="str">
        <f aca="false">IF(OR(C37="",D37=""),"",C37*D37*$D$12)</f>
        <v/>
      </c>
      <c r="G37" s="16" t="str">
        <f aca="false">IF(F37="","",IF(F37&lt;=$D$13,"✅ Sim","❌ Não"))</f>
        <v/>
      </c>
      <c r="H37" s="16" t="str">
        <f aca="false">IF(E37="","",IF(E37&gt;=0,"✅ Sim",IF(-E37&lt;=$D$14,"✅ Sim","❌ Não")))</f>
        <v/>
      </c>
      <c r="I37" s="17" t="str">
        <f aca="false">IF(OR(G37="",H37=""),"",IF(AND(G37="✅ Sim",H37="✅ Sim"),"✅","❌"))</f>
        <v/>
      </c>
    </row>
    <row r="38" customFormat="false" ht="15" hidden="false" customHeight="false" outlineLevel="0" collapsed="false">
      <c r="A38" s="18" t="n">
        <v>20</v>
      </c>
      <c r="B38" s="19"/>
      <c r="C38" s="20"/>
      <c r="D38" s="20"/>
      <c r="E38" s="21"/>
      <c r="F38" s="22" t="str">
        <f aca="false">IF(OR(C38="",D38=""),"",C38*D38*$D$12)</f>
        <v/>
      </c>
      <c r="G38" s="18" t="str">
        <f aca="false">IF(F38="","",IF(F38&lt;=$D$13,"✅ Sim","❌ Não"))</f>
        <v/>
      </c>
      <c r="H38" s="18" t="str">
        <f aca="false">IF(E38="","",IF(E38&gt;=0,"✅ Sim",IF(-E38&lt;=$D$14,"✅ Sim","❌ Não")))</f>
        <v/>
      </c>
      <c r="I38" s="23" t="str">
        <f aca="false">IF(OR(G38="",H38=""),"",IF(AND(G38="✅ Sim",H38="✅ Sim"),"✅","❌"))</f>
        <v/>
      </c>
    </row>
    <row r="39" customFormat="false" ht="15" hidden="false" customHeight="false" outlineLevel="0" collapsed="false">
      <c r="A39" s="16" t="n">
        <v>21</v>
      </c>
      <c r="B39" s="13"/>
      <c r="C39" s="14"/>
      <c r="D39" s="14"/>
      <c r="E39" s="15"/>
      <c r="F39" s="9" t="str">
        <f aca="false">IF(OR(C39="",D39=""),"",C39*D39*$D$12)</f>
        <v/>
      </c>
      <c r="G39" s="16" t="str">
        <f aca="false">IF(F39="","",IF(F39&lt;=$D$13,"✅ Sim","❌ Não"))</f>
        <v/>
      </c>
      <c r="H39" s="16" t="str">
        <f aca="false">IF(E39="","",IF(E39&gt;=0,"✅ Sim",IF(-E39&lt;=$D$14,"✅ Sim","❌ Não")))</f>
        <v/>
      </c>
      <c r="I39" s="17" t="str">
        <f aca="false">IF(OR(G39="",H39=""),"",IF(AND(G39="✅ Sim",H39="✅ Sim"),"✅","❌"))</f>
        <v/>
      </c>
    </row>
    <row r="41" customFormat="false" ht="15" hidden="false" customHeight="false" outlineLevel="0" collapsed="false">
      <c r="A41" s="3" t="s">
        <v>23</v>
      </c>
      <c r="B41" s="3"/>
      <c r="C41" s="3"/>
      <c r="D41" s="3"/>
      <c r="E41" s="3"/>
      <c r="F41" s="3"/>
      <c r="G41" s="3"/>
      <c r="H41" s="3"/>
      <c r="I41" s="3"/>
    </row>
    <row r="42" customFormat="false" ht="15" hidden="false" customHeight="false" outlineLevel="0" collapsed="false">
      <c r="A42" s="8" t="s">
        <v>24</v>
      </c>
      <c r="B42" s="8"/>
      <c r="C42" s="8"/>
      <c r="D42" s="8"/>
      <c r="E42" s="8"/>
      <c r="F42" s="8"/>
      <c r="G42" s="24" t="str">
        <f aca="false">COUNTIF(I19:I39,"✅")&amp;" de 21"</f>
        <v>1 de 21</v>
      </c>
      <c r="H42" s="24"/>
      <c r="I42" s="24"/>
    </row>
    <row r="43" customFormat="false" ht="15" hidden="false" customHeight="false" outlineLevel="0" collapsed="false">
      <c r="A43" s="8" t="s">
        <v>25</v>
      </c>
      <c r="B43" s="8"/>
      <c r="C43" s="8"/>
      <c r="D43" s="8"/>
      <c r="E43" s="8"/>
      <c r="F43" s="8"/>
      <c r="G43" s="25" t="n">
        <f aca="false">SUM(E19:E39)</f>
        <v>180</v>
      </c>
      <c r="H43" s="25"/>
      <c r="I43" s="25"/>
    </row>
    <row r="44" customFormat="false" ht="30" hidden="false" customHeight="true" outlineLevel="0" collapsed="false">
      <c r="A44" s="26" t="s">
        <v>26</v>
      </c>
      <c r="B44" s="26"/>
      <c r="C44" s="26"/>
      <c r="D44" s="26"/>
      <c r="E44" s="26"/>
      <c r="F44" s="26"/>
      <c r="G44" s="27" t="str">
        <f aca="false">IF(COUNTBLANK(I19:I39)=21,"Ainda não começou",IF(COUNTIF(I19:I39,"❌")&gt;0,"❌ Desafio quebrado — houve violação de risco",IF(COUNTIF(I19:I39,"✅")=21,"🏆 PARABÉNS! Desafio concluído — 21 pregões sem violar as regras de risco","🔵 Em andamento — continue seguindo as regras")))</f>
        <v>🔵 Em andamento — continue seguindo as regras</v>
      </c>
      <c r="H44" s="27"/>
      <c r="I44" s="27"/>
    </row>
    <row r="46" customFormat="false" ht="27.75" hidden="false" customHeight="true" outlineLevel="0" collapsed="false">
      <c r="A46" s="10" t="s">
        <v>27</v>
      </c>
      <c r="B46" s="10"/>
      <c r="C46" s="10"/>
      <c r="D46" s="10"/>
      <c r="E46" s="10"/>
      <c r="F46" s="10"/>
      <c r="G46" s="10"/>
      <c r="H46" s="10"/>
      <c r="I46" s="10"/>
    </row>
  </sheetData>
  <mergeCells count="20">
    <mergeCell ref="A1:I2"/>
    <mergeCell ref="A3:I3"/>
    <mergeCell ref="A5:I5"/>
    <mergeCell ref="A6:C6"/>
    <mergeCell ref="A7:C7"/>
    <mergeCell ref="A8:C8"/>
    <mergeCell ref="A9:C9"/>
    <mergeCell ref="A10:C10"/>
    <mergeCell ref="A12:C12"/>
    <mergeCell ref="A13:C13"/>
    <mergeCell ref="A14:C14"/>
    <mergeCell ref="A16:I16"/>
    <mergeCell ref="A41:I41"/>
    <mergeCell ref="A42:F42"/>
    <mergeCell ref="G42:I42"/>
    <mergeCell ref="A43:F43"/>
    <mergeCell ref="G43:I43"/>
    <mergeCell ref="A44:F44"/>
    <mergeCell ref="G44:I44"/>
    <mergeCell ref="A46:I46"/>
  </mergeCells>
  <dataValidations count="1">
    <dataValidation allowBlank="false" errorStyle="stop" operator="between" showDropDown="false" showErrorMessage="false" showInputMessage="false" sqref="D7" type="list">
      <formula1>"Mini Índice,Mini Dólar"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28" t="s">
        <v>28</v>
      </c>
    </row>
    <row r="4" customFormat="false" ht="300" hidden="false" customHeight="true" outlineLevel="0" collapsed="false">
      <c r="B4" s="2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2026-09-18T18:51:46Z</dcterms:created>
  <dc:creator>openpyxl</dc:creator>
  <dc:description/>
  <dc:language>en-US</dc:language>
  <cp:lastModifiedBy/>
  <dcterms:modified xsi:type="dcterms:W3CDTF">2026-09-18T18:51:46Z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