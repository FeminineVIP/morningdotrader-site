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 de Sobrevivência" sheetId="1" state="visible" r:id="rId3"/>
    <sheet name="Sob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<sst xmlns="http://schemas.openxmlformats.org/spreadsheetml/2006/main" count="77" uniqueCount="42">
  <si>
    <t xml:space="preserve">GESTÃO DO PLANO
com Gestão Emocional</t>
  </si>
  <si>
    <t xml:space="preserve">Oportunidade de Sobrevivência no Mercado</t>
  </si>
  <si>
    <t xml:space="preserve">Dia</t>
  </si>
  <si>
    <t xml:space="preserve">Gain ou Loss 
no dia</t>
  </si>
  <si>
    <t xml:space="preserve">Rentabilidade do Capital Inicial</t>
  </si>
  <si>
    <t xml:space="preserve">Diário de Bordo</t>
  </si>
  <si>
    <t xml:space="preserve">Emocional</t>
  </si>
  <si>
    <t xml:space="preserve">Resultado Acumulado</t>
  </si>
  <si>
    <t xml:space="preserve">Dias restantes no mercado se apenas tomar loss</t>
  </si>
  <si>
    <t xml:space="preserve">Neutro</t>
  </si>
  <si>
    <t xml:space="preserve">Critérios do Trade</t>
  </si>
  <si>
    <t xml:space="preserve">Escolha o ativo a ser operado</t>
  </si>
  <si>
    <t xml:space="preserve">Mini Dólar</t>
  </si>
  <si>
    <t xml:space="preserve">Capital Inicial</t>
  </si>
  <si>
    <t xml:space="preserve">Bom</t>
  </si>
  <si>
    <t xml:space="preserve">Qtde de trades máx. por dia</t>
  </si>
  <si>
    <t xml:space="preserve">Objetivos</t>
  </si>
  <si>
    <t xml:space="preserve">Meta de ganho no mês</t>
  </si>
  <si>
    <t xml:space="preserve">Meta de ganho médio no dia</t>
  </si>
  <si>
    <t xml:space="preserve">Ganhos até agora</t>
  </si>
  <si>
    <t xml:space="preserve">% atingido da meta no mês</t>
  </si>
  <si>
    <t xml:space="preserve">Meta por trade</t>
  </si>
  <si>
    <t xml:space="preserve">Gain</t>
  </si>
  <si>
    <t xml:space="preserve">Loss</t>
  </si>
  <si>
    <t xml:space="preserve">Relação Ganho x Risco</t>
  </si>
  <si>
    <t xml:space="preserve">Financeiro</t>
  </si>
  <si>
    <t xml:space="preserve">% das operações realizadas em cada emocional</t>
  </si>
  <si>
    <t xml:space="preserve">Ruim</t>
  </si>
  <si>
    <t xml:space="preserve">Total do mês</t>
  </si>
  <si>
    <t xml:space="preserve">desenvolvido por Morning do Trader — morningdotrader.com.br</t>
  </si>
  <si>
    <t xml:space="preserve">Dicas para Disciplina</t>
  </si>
  <si>
    <t xml:space="preserve">Anotações:</t>
  </si>
  <si>
    <t xml:space="preserve"> - Não deixe sua ansiedade operar por você.</t>
  </si>
  <si>
    <t xml:space="preserve"> - Não efetuar operações contra a tendência.</t>
  </si>
  <si>
    <t xml:space="preserve"> - Não opere após às 13 horas.</t>
  </si>
  <si>
    <t xml:space="preserve"> - Pare de operar se atingir a meta diária.</t>
  </si>
  <si>
    <t xml:space="preserve">gsg</t>
  </si>
  <si>
    <t xml:space="preserve">SOBRE ESTA PLANILHA</t>
  </si>
  <si>
    <t xml:space="preserve">Morning do Trader</t>
  </si>
  <si>
    <t xml:space="preserve">Essa planilha existe pra te ajudar a seguir um plano de risco e meta diária em vez de operar no impulso. Preencha o Capital Inicial, a quantidade de contratos e as metas de Gain/Loss por trade — o resto (rentabilidade, resultado acumulado do mês e o gráfico de Evolução Financeira) é calculado sozinho conforme você registra o resultado de cada dia na coluna "Gain ou Loss no dia".
O campo "Emocional" é opcional, mas vale preencher: ele mostra, no gráfico da aba principal, a proporção de dias em que você operou bem, neutro ou mal — um jeito simples de perceber se o problema do mês foi de estratégia ou de disciplina.
Resultado baseado em teste com uma comunidade de mais de 500 traders ao longo de um mês: quem seguiu o plano à risca fechou o mês no positivo. Desempenho passado não garante resultados futuros — o mercado financeiro envolve risco.</t>
  </si>
  <si>
    <t xml:space="preserve">Baixado gratuitamente em morningdotrader.com.br</t>
  </si>
  <si>
    <t xml:space="preserve">Compartilhe com quem também precisa de mais disciplina no trade.</t>
  </si>
</sst>
</file>

<file path=xl/styles.xml><?xml version="1.0" encoding="utf-8"?>
<styleSheet xmlns="http://schemas.openxmlformats.org/spreadsheetml/2006/main">
  <numFmts count="8">
    <numFmt numFmtId="164" formatCode="0.00"/>
    <numFmt numFmtId="165" formatCode="General"/>
    <numFmt numFmtId="166" formatCode="0"/>
    <numFmt numFmtId="167" formatCode="m/d/yyyy"/>
    <numFmt numFmtId="168" formatCode="ddd"/>
    <numFmt numFmtId="169" formatCode="_-&quot;R$ &quot;* #,##0.00_-;&quot;-R$ &quot;* #,##0.00_-;_-&quot;R$ &quot;* \-??_-;_-@"/>
    <numFmt numFmtId="170" formatCode="0%"/>
    <numFmt numFmtId="171" formatCode="@"/>
  </numFmts>
  <fonts count="3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22"/>
      <color rgb="FF595959"/>
      <name val="Calibri"/>
      <family val="2"/>
      <charset val="1"/>
    </font>
    <font>
      <sz val="14"/>
      <color rgb="FF0070C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1"/>
      <color rgb="FF4472C4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theme="7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8"/>
      <color rgb="FF7F7F7F"/>
      <name val="Calibri"/>
      <family val="2"/>
      <charset val="1"/>
    </font>
    <font>
      <sz val="5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u val="single"/>
      <sz val="8"/>
      <color theme="10"/>
      <name val="Calibri"/>
      <family val="2"/>
      <charset val="1"/>
    </font>
    <font>
      <sz val="10"/>
      <color rgb="FF000000"/>
      <name val="Calibri"/>
      <family val="2"/>
    </font>
    <font>
      <sz val="10"/>
      <color rgb="FF1A1A1A"/>
      <name val="Calibri"/>
      <family val="2"/>
    </font>
    <font>
      <b val="true"/>
      <sz val="18"/>
      <color rgb="FF000000"/>
      <name val="Calibri"/>
      <family val="2"/>
    </font>
    <font>
      <sz val="11"/>
      <color rgb="FF000000"/>
      <name val="Calibri"/>
      <family val="2"/>
      <charset val="1"/>
    </font>
    <font>
      <b val="true"/>
      <sz val="16"/>
      <color rgb="FF595959"/>
      <name val="Calibri"/>
      <family val="0"/>
      <charset val="1"/>
    </font>
    <font>
      <b val="true"/>
      <sz val="10"/>
      <color rgb="FFFFC000"/>
      <name val="Calibri"/>
      <family val="0"/>
      <charset val="1"/>
    </font>
    <font>
      <sz val="10.5"/>
      <color rgb="FF595959"/>
      <name val="Calibri"/>
      <family val="0"/>
      <charset val="1"/>
    </font>
    <font>
      <sz val="10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1"/>
      <color rgb="FF595959"/>
      <name val="Calibri"/>
      <family val="0"/>
      <charset val="1"/>
    </font>
    <font>
      <sz val="11"/>
      <color theme="8"/>
      <name val="Calibri"/>
      <family val="2"/>
      <charset val="1"/>
    </font>
    <font>
      <sz val="14"/>
      <color theme="8"/>
      <name val="Calibri"/>
      <family val="2"/>
      <charset val="1"/>
    </font>
    <font>
      <i val="true"/>
      <sz val="9.5"/>
      <color rgb="FF7F7F7F"/>
      <name val="Calibri"/>
      <family val="0"/>
      <charset val="1"/>
    </font>
    <font>
      <sz val="5"/>
      <color rgb="FF7F7F7F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A8D08D"/>
        <bgColor rgb="FFB3B3B3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D9D9D9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3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4" fillId="4" borderId="1" xfId="0" applyFont="true" applyBorder="true" applyAlignment="true" applyProtection="false">
      <alignment horizontal="left" vertical="bottom" textRotation="0" wrapText="true" indent="0" shrinkToFit="false" readingOrder="1"/>
      <protection locked="true" hidden="false"/>
    </xf>
    <xf numFmtId="165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color rgb="FFED7D31"/>
      </font>
    </dxf>
    <dxf>
      <font>
        <color rgb="FF0070C0"/>
      </font>
    </dxf>
    <dxf>
      <fill>
        <patternFill>
          <bgColor rgb="FFD8D8D8"/>
        </patternFill>
      </fill>
    </dxf>
    <dxf>
      <numFmt numFmtId="164" formatCode="0.00"/>
    </dxf>
    <dxf>
      <fill>
        <patternFill>
          <bgColor rgb="FFFF5050"/>
        </patternFill>
      </fill>
    </dxf>
    <dxf>
      <fill>
        <patternFill>
          <bgColor rgb="FFFFD965"/>
        </patternFill>
      </fill>
    </dxf>
    <dxf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3B3B3"/>
      <rgbColor rgb="FF7F7F7F"/>
      <rgbColor rgb="FF5B9BD5"/>
      <rgbColor rgb="FF993366"/>
      <rgbColor rgb="FFFFFFCC"/>
      <rgbColor rgb="FFE7E6E6"/>
      <rgbColor rgb="FF660066"/>
      <rgbColor rgb="FFFF5050"/>
      <rgbColor rgb="FF0563C1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A8D08D"/>
      <rgbColor rgb="FFFF99CC"/>
      <rgbColor rgb="FFCC99FF"/>
      <rgbColor rgb="FFFFD965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71076697963663"/>
          <c:y val="0.0780085197018104"/>
          <c:w val="0.526277283258139"/>
          <c:h val="0.90814696485623"/>
        </c:manualLayout>
      </c:layout>
      <c:pie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5050"/>
              </a:solidFill>
              <a:ln w="0">
                <a:noFill/>
              </a:ln>
            </c:spPr>
          </c:dPt>
          <c:dLbls>
            <c:numFmt formatCode="0%" sourceLinked="1"/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'Calculadora de Sobrevivência'!$B$33:$B$35</c:f>
              <c:strCache>
                <c:ptCount val="3"/>
                <c:pt idx="0">
                  <c:v>Bom</c:v>
                </c:pt>
                <c:pt idx="1">
                  <c:v>Neutro</c:v>
                </c:pt>
                <c:pt idx="2">
                  <c:v>Ruim</c:v>
                </c:pt>
              </c:strCache>
            </c:strRef>
          </c:cat>
          <c:val>
            <c:numRef>
              <c:f>'Calculadora de Sobrevivência'!$C$33:$C$35</c:f>
              <c:numCache>
                <c:formatCode>0%</c:formatCode>
                <c:ptCount val="3"/>
                <c:pt idx="0">
                  <c:v>0.32258064516129</c:v>
                </c:pt>
                <c:pt idx="1">
                  <c:v>0.67741935483871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770552535771738"/>
          <c:y val="0.18659719005712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Evolução Financeira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c000"/>
            </a:solidFill>
            <a:ln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'Calculadora de Sobrevivência'!$E$6:$E$36</c:f>
              <c:strCache>
                <c:ptCount val="31"/>
                <c:pt idx="0">
                  <c:v>2/1/2024</c:v>
                </c:pt>
                <c:pt idx="1">
                  <c:v>2/2/2024</c:v>
                </c:pt>
                <c:pt idx="2">
                  <c:v>2/3/2024</c:v>
                </c:pt>
                <c:pt idx="3">
                  <c:v>2/4/2024</c:v>
                </c:pt>
                <c:pt idx="4">
                  <c:v>2/5/2024</c:v>
                </c:pt>
                <c:pt idx="5">
                  <c:v>2/6/2024</c:v>
                </c:pt>
                <c:pt idx="6">
                  <c:v>2/7/2024</c:v>
                </c:pt>
                <c:pt idx="7">
                  <c:v>2/8/2024</c:v>
                </c:pt>
                <c:pt idx="8">
                  <c:v>2/9/2024</c:v>
                </c:pt>
                <c:pt idx="9">
                  <c:v>2/10/2024</c:v>
                </c:pt>
                <c:pt idx="10">
                  <c:v>2/11/2024</c:v>
                </c:pt>
                <c:pt idx="11">
                  <c:v>2/12/2024</c:v>
                </c:pt>
                <c:pt idx="12">
                  <c:v>2/13/2024</c:v>
                </c:pt>
                <c:pt idx="13">
                  <c:v>2/14/2024</c:v>
                </c:pt>
                <c:pt idx="14">
                  <c:v>2/15/2024</c:v>
                </c:pt>
                <c:pt idx="15">
                  <c:v>2/16/2024</c:v>
                </c:pt>
                <c:pt idx="16">
                  <c:v>2/17/2024</c:v>
                </c:pt>
                <c:pt idx="17">
                  <c:v>2/18/2024</c:v>
                </c:pt>
                <c:pt idx="18">
                  <c:v>2/19/2024</c:v>
                </c:pt>
                <c:pt idx="19">
                  <c:v>2/20/2024</c:v>
                </c:pt>
                <c:pt idx="20">
                  <c:v>2/21/2024</c:v>
                </c:pt>
                <c:pt idx="21">
                  <c:v>2/22/2024</c:v>
                </c:pt>
                <c:pt idx="22">
                  <c:v>2/23/2024</c:v>
                </c:pt>
                <c:pt idx="23">
                  <c:v>2/24/2024</c:v>
                </c:pt>
                <c:pt idx="24">
                  <c:v>2/25/2024</c:v>
                </c:pt>
                <c:pt idx="25">
                  <c:v>2/26/2024</c:v>
                </c:pt>
                <c:pt idx="26">
                  <c:v>2/27/2024</c:v>
                </c:pt>
                <c:pt idx="27">
                  <c:v>2/28/2024</c:v>
                </c:pt>
                <c:pt idx="28">
                  <c:v>2/29/2024</c:v>
                </c:pt>
                <c:pt idx="29">
                  <c:v>3/1/2024</c:v>
                </c:pt>
                <c:pt idx="30">
                  <c:v>3/2/2024</c:v>
                </c:pt>
              </c:strCache>
            </c:strRef>
          </c:cat>
          <c:val>
            <c:numRef>
              <c:f>'Calculadora de Sobrevivência'!$K$6:$K$36</c:f>
              <c:numCache>
                <c:formatCode>_-"R$ "* #,##0.00_-;"-R$ "* #,##0.00_-;_-"R$ "* \-??_-;_-@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959292"/>
        <c:axId val="89516150"/>
      </c:lineChart>
      <c:catAx>
        <c:axId val="1695929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9516150"/>
        <c:crosses val="autoZero"/>
        <c:auto val="1"/>
        <c:lblAlgn val="ctr"/>
        <c:lblOffset val="100"/>
        <c:noMultiLvlLbl val="0"/>
      </c:catAx>
      <c:valAx>
        <c:axId val="895161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_-&quot;R$ &quot;* #,##0.00_-;&quot;-R$ &quot;* #,##0.00_-;_-&quot;R$ &quot;* \-??_-;_-@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959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181080</xdr:colOff>
      <xdr:row>32</xdr:row>
      <xdr:rowOff>49680</xdr:rowOff>
    </xdr:from>
    <xdr:to>
      <xdr:col>2</xdr:col>
      <xdr:colOff>1058040</xdr:colOff>
      <xdr:row>39</xdr:row>
      <xdr:rowOff>134640</xdr:rowOff>
    </xdr:to>
    <xdr:graphicFrame>
      <xdr:nvGraphicFramePr>
        <xdr:cNvPr id="0" name="Chart 2"/>
        <xdr:cNvGraphicFramePr/>
      </xdr:nvGraphicFramePr>
      <xdr:xfrm>
        <a:off x="181080" y="8755560"/>
        <a:ext cx="2952000" cy="135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10</xdr:col>
      <xdr:colOff>185040</xdr:colOff>
      <xdr:row>52</xdr:row>
      <xdr:rowOff>75600</xdr:rowOff>
    </xdr:to>
    <xdr:graphicFrame>
      <xdr:nvGraphicFramePr>
        <xdr:cNvPr id="1" name="Chart 1"/>
        <xdr:cNvGraphicFramePr/>
      </xdr:nvGraphicFramePr>
      <xdr:xfrm>
        <a:off x="203040" y="9772560"/>
        <a:ext cx="12905640" cy="278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628200</xdr:colOff>
      <xdr:row>1</xdr:row>
      <xdr:rowOff>266400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923640" y="0"/>
          <a:ext cx="628200" cy="62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12</xdr:col>
      <xdr:colOff>571320</xdr:colOff>
      <xdr:row>3</xdr:row>
      <xdr:rowOff>190080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6953400" y="190440"/>
          <a:ext cx="571320" cy="57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8</xdr:col>
      <xdr:colOff>357480</xdr:colOff>
      <xdr:row>17</xdr:row>
      <xdr:rowOff>132840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2647440" y="1333440"/>
          <a:ext cx="209520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0" ySplit="5" topLeftCell="A27" activePane="bottomLeft" state="frozen"/>
      <selection pane="topLeft" activeCell="A1" activeCellId="0" sqref="A1"/>
      <selection pane="bottomLeft" activeCell="C12" activeCellId="0" sqref="C12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2.88"/>
    <col collapsed="false" customWidth="true" hidden="false" outlineLevel="0" max="2" min="2" style="1" width="26.56"/>
    <col collapsed="false" customWidth="true" hidden="false" outlineLevel="0" max="3" min="3" style="1" width="17.44"/>
    <col collapsed="false" customWidth="true" hidden="false" outlineLevel="0" max="4" min="4" style="1" width="3.34"/>
    <col collapsed="false" customWidth="true" hidden="false" outlineLevel="0" max="5" min="5" style="1" width="13.44"/>
    <col collapsed="false" customWidth="true" hidden="false" outlineLevel="0" max="6" min="6" style="1" width="8.34"/>
    <col collapsed="false" customWidth="true" hidden="false" outlineLevel="0" max="7" min="7" style="1" width="17.56"/>
    <col collapsed="false" customWidth="true" hidden="false" outlineLevel="0" max="8" min="8" style="1" width="16.67"/>
    <col collapsed="false" customWidth="true" hidden="false" outlineLevel="0" max="9" min="9" style="1" width="65.56"/>
    <col collapsed="false" customWidth="true" hidden="false" outlineLevel="0" max="10" min="10" style="1" width="11.56"/>
    <col collapsed="false" customWidth="true" hidden="false" outlineLevel="0" max="11" min="11" style="1" width="16.33"/>
    <col collapsed="false" customWidth="true" hidden="false" outlineLevel="0" max="12" min="12" style="1" width="2.88"/>
    <col collapsed="false" customWidth="true" hidden="false" outlineLevel="0" max="26" min="13" style="1" width="8.67"/>
  </cols>
  <sheetData>
    <row r="1" customFormat="false" ht="28.5" hidden="false" customHeight="tru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8.5" hidden="false" customHeight="true" outlineLevel="0" collapsed="false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7.5" hidden="false" customHeight="true" outlineLevel="0" collapsed="false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true" customHeight="true" outlineLevel="0" collapsed="false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7.75" hidden="false" customHeight="true" outlineLevel="0" collapsed="false">
      <c r="A5" s="2"/>
      <c r="B5" s="6" t="s">
        <v>1</v>
      </c>
      <c r="C5" s="7"/>
      <c r="D5" s="2"/>
      <c r="E5" s="8" t="s">
        <v>2</v>
      </c>
      <c r="F5" s="8"/>
      <c r="G5" s="8" t="s">
        <v>3</v>
      </c>
      <c r="H5" s="8" t="s">
        <v>4</v>
      </c>
      <c r="I5" s="8" t="s">
        <v>5</v>
      </c>
      <c r="J5" s="8" t="s">
        <v>6</v>
      </c>
      <c r="K5" s="8" t="s">
        <v>7</v>
      </c>
      <c r="L5" s="9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10" t="s">
        <v>8</v>
      </c>
      <c r="C6" s="11" t="n">
        <f aca="false">ROUNDDOWN((G38+C11)/(C28*C13),0)</f>
        <v>1</v>
      </c>
      <c r="D6" s="2"/>
      <c r="E6" s="12" t="n">
        <v>45323</v>
      </c>
      <c r="F6" s="13" t="n">
        <f aca="false">WEEKDAY(E6)</f>
        <v>5</v>
      </c>
      <c r="G6" s="14"/>
      <c r="H6" s="15" t="str">
        <f aca="false">IF(G6="","",G6/$C$11)</f>
        <v/>
      </c>
      <c r="I6" s="16"/>
      <c r="J6" s="14" t="s">
        <v>9</v>
      </c>
      <c r="K6" s="17" t="n">
        <f aca="false">G6</f>
        <v>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10"/>
      <c r="C7" s="10"/>
      <c r="D7" s="2"/>
      <c r="E7" s="18" t="n">
        <f aca="false">E6+1</f>
        <v>45324</v>
      </c>
      <c r="F7" s="13" t="n">
        <f aca="false">WEEKDAY(E7)</f>
        <v>6</v>
      </c>
      <c r="G7" s="14"/>
      <c r="H7" s="15" t="str">
        <f aca="false">IF(G7="","",G7/$C$11)</f>
        <v/>
      </c>
      <c r="I7" s="16"/>
      <c r="J7" s="14" t="s">
        <v>9</v>
      </c>
      <c r="K7" s="17" t="n">
        <f aca="false">K6</f>
        <v>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2"/>
      <c r="C8" s="2"/>
      <c r="D8" s="2"/>
      <c r="E8" s="18" t="n">
        <f aca="false">E7+1</f>
        <v>45325</v>
      </c>
      <c r="F8" s="13" t="n">
        <f aca="false">WEEKDAY(E8)</f>
        <v>7</v>
      </c>
      <c r="G8" s="14"/>
      <c r="H8" s="15" t="str">
        <f aca="false">IF(G8="","",G8/$C$11)</f>
        <v/>
      </c>
      <c r="I8" s="16"/>
      <c r="J8" s="14" t="s">
        <v>9</v>
      </c>
      <c r="K8" s="17" t="n">
        <f aca="false">IF(F8=7,K7,IF(F8=1,K6,K7+G8))</f>
        <v>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19" t="s">
        <v>10</v>
      </c>
      <c r="C9" s="19"/>
      <c r="D9" s="2"/>
      <c r="E9" s="18" t="n">
        <f aca="false">E8+1</f>
        <v>45326</v>
      </c>
      <c r="F9" s="13" t="n">
        <f aca="false">WEEKDAY(E9)</f>
        <v>1</v>
      </c>
      <c r="G9" s="14"/>
      <c r="H9" s="15" t="str">
        <f aca="false">IF(G9="","",G9/$C$11)</f>
        <v/>
      </c>
      <c r="I9" s="16"/>
      <c r="J9" s="14" t="s">
        <v>9</v>
      </c>
      <c r="K9" s="17" t="n">
        <f aca="false">IF(F9=7,K8,IF(F9=1,K7,K8+G9))</f>
        <v>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2" t="s">
        <v>11</v>
      </c>
      <c r="C10" s="20" t="s">
        <v>12</v>
      </c>
      <c r="D10" s="2"/>
      <c r="E10" s="21" t="n">
        <f aca="false">E9+1</f>
        <v>45327</v>
      </c>
      <c r="F10" s="22" t="n">
        <f aca="false">WEEKDAY(E10)</f>
        <v>2</v>
      </c>
      <c r="G10" s="14"/>
      <c r="H10" s="23" t="str">
        <f aca="false">IF(G10="","",G10/$C$11)</f>
        <v/>
      </c>
      <c r="I10" s="16"/>
      <c r="J10" s="24" t="s">
        <v>9</v>
      </c>
      <c r="K10" s="24" t="n">
        <f aca="false">IF(F10=7,K9,IF(F10=1,K8,K9+G10))</f>
        <v>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25" t="s">
        <v>13</v>
      </c>
      <c r="C11" s="26" t="n">
        <v>1000</v>
      </c>
      <c r="D11" s="2"/>
      <c r="E11" s="18" t="n">
        <f aca="false">E10+1</f>
        <v>45328</v>
      </c>
      <c r="F11" s="13" t="n">
        <f aca="false">WEEKDAY(E11)</f>
        <v>3</v>
      </c>
      <c r="G11" s="14"/>
      <c r="H11" s="15" t="str">
        <f aca="false">IF(G11="","",G11/$C$11)</f>
        <v/>
      </c>
      <c r="I11" s="16"/>
      <c r="J11" s="14" t="s">
        <v>14</v>
      </c>
      <c r="K11" s="17" t="n">
        <f aca="false">IF(F11=7,K10,IF(F11=1,K9,K10+G11))</f>
        <v>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2" t="str">
        <f aca="false">IF(C10="Papéis","Qtde de papéis","Qtde de contratos")</f>
        <v>Qtde de contratos</v>
      </c>
      <c r="C12" s="27" t="n">
        <v>3</v>
      </c>
      <c r="D12" s="2"/>
      <c r="E12" s="18" t="n">
        <f aca="false">E11+1</f>
        <v>45329</v>
      </c>
      <c r="F12" s="13" t="n">
        <f aca="false">WEEKDAY(E12)</f>
        <v>4</v>
      </c>
      <c r="G12" s="14"/>
      <c r="H12" s="15" t="str">
        <f aca="false">IF(G12="","",G12/$C$11)</f>
        <v/>
      </c>
      <c r="I12" s="16"/>
      <c r="J12" s="14" t="s">
        <v>9</v>
      </c>
      <c r="K12" s="17" t="n">
        <f aca="false">IF(F12=7,K11,IF(F12=1,K10,K11+G12))</f>
        <v>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2" t="s">
        <v>15</v>
      </c>
      <c r="C13" s="27" t="n">
        <v>6</v>
      </c>
      <c r="D13" s="2"/>
      <c r="E13" s="18" t="n">
        <f aca="false">E12+1</f>
        <v>45330</v>
      </c>
      <c r="F13" s="13" t="n">
        <f aca="false">WEEKDAY(E13)</f>
        <v>5</v>
      </c>
      <c r="G13" s="14"/>
      <c r="H13" s="15" t="str">
        <f aca="false">IF(G13="","",G13/$C$11)</f>
        <v/>
      </c>
      <c r="I13" s="16"/>
      <c r="J13" s="14" t="s">
        <v>9</v>
      </c>
      <c r="K13" s="17" t="n">
        <f aca="false">IF(F13=7,K12,IF(F13=1,K11,K12+G13))</f>
        <v>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2"/>
      <c r="C14" s="2"/>
      <c r="D14" s="2"/>
      <c r="E14" s="18" t="n">
        <f aca="false">E13+1</f>
        <v>45331</v>
      </c>
      <c r="F14" s="13" t="n">
        <f aca="false">WEEKDAY(E14)</f>
        <v>6</v>
      </c>
      <c r="G14" s="14"/>
      <c r="H14" s="15" t="str">
        <f aca="false">IF(G14="","",G14/$C$11)</f>
        <v/>
      </c>
      <c r="I14" s="16"/>
      <c r="J14" s="14" t="s">
        <v>9</v>
      </c>
      <c r="K14" s="17" t="n">
        <f aca="false">IF(F14=7,K13,IF(F14=1,K12,K13+G14))</f>
        <v>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19" t="s">
        <v>16</v>
      </c>
      <c r="C15" s="19"/>
      <c r="D15" s="2"/>
      <c r="E15" s="18" t="n">
        <f aca="false">E14+1</f>
        <v>45332</v>
      </c>
      <c r="F15" s="13" t="n">
        <f aca="false">WEEKDAY(E15)</f>
        <v>7</v>
      </c>
      <c r="G15" s="14"/>
      <c r="H15" s="15" t="str">
        <f aca="false">IF(G15="","",G15/$C$11)</f>
        <v/>
      </c>
      <c r="I15" s="16"/>
      <c r="J15" s="14" t="s">
        <v>9</v>
      </c>
      <c r="K15" s="17" t="n">
        <f aca="false">IF(F15=7,K14,IF(F15=1,K13,K14+G15))</f>
        <v>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25" t="s">
        <v>17</v>
      </c>
      <c r="C16" s="26" t="n">
        <v>4000</v>
      </c>
      <c r="D16" s="2"/>
      <c r="E16" s="18" t="n">
        <f aca="false">E15+1</f>
        <v>45333</v>
      </c>
      <c r="F16" s="13" t="n">
        <f aca="false">WEEKDAY(E16)</f>
        <v>1</v>
      </c>
      <c r="G16" s="14"/>
      <c r="H16" s="15" t="str">
        <f aca="false">IF(G16="","",G16/$C$11)</f>
        <v/>
      </c>
      <c r="I16" s="16"/>
      <c r="J16" s="14" t="s">
        <v>9</v>
      </c>
      <c r="K16" s="17" t="n">
        <f aca="false">IF(F16=7,K15,IF(F16=1,K14,K15+G16))</f>
        <v>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25" t="s">
        <v>18</v>
      </c>
      <c r="C17" s="28" t="n">
        <f aca="false">C16/(COUNT(F6:F36)-(COUNTIFS(F6:F36,1)+COUNTIFS(F6:F36,7)))</f>
        <v>181.818181818182</v>
      </c>
      <c r="D17" s="2"/>
      <c r="E17" s="18" t="n">
        <f aca="false">E16+1</f>
        <v>45334</v>
      </c>
      <c r="F17" s="13" t="n">
        <f aca="false">WEEKDAY(E17)</f>
        <v>2</v>
      </c>
      <c r="G17" s="14"/>
      <c r="H17" s="15" t="str">
        <f aca="false">IF(G17="","",G17/$C$11)</f>
        <v/>
      </c>
      <c r="I17" s="16"/>
      <c r="J17" s="14" t="s">
        <v>9</v>
      </c>
      <c r="K17" s="17" t="n">
        <f aca="false">IF(F17=7,K16,IF(F17=1,K15,K16+G17))</f>
        <v>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49.5" hidden="false" customHeight="true" outlineLevel="0" collapsed="false">
      <c r="A18" s="2"/>
      <c r="B18" s="25" t="s">
        <v>19</v>
      </c>
      <c r="C18" s="28" t="n">
        <f aca="false">G38</f>
        <v>0</v>
      </c>
      <c r="D18" s="2"/>
      <c r="E18" s="18" t="n">
        <f aca="false">E17+1</f>
        <v>45335</v>
      </c>
      <c r="F18" s="13" t="n">
        <f aca="false">WEEKDAY(E18)</f>
        <v>3</v>
      </c>
      <c r="G18" s="14"/>
      <c r="H18" s="15" t="str">
        <f aca="false">IF(G18="","",G18/$C$11)</f>
        <v/>
      </c>
      <c r="I18" s="16"/>
      <c r="J18" s="14" t="s">
        <v>9</v>
      </c>
      <c r="K18" s="17" t="n">
        <f aca="false">IF(F18=7,K17,IF(F18=1,K16,K17+G18))</f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25" t="s">
        <v>20</v>
      </c>
      <c r="C19" s="29" t="n">
        <f aca="false">C18/C16</f>
        <v>0</v>
      </c>
      <c r="D19" s="2"/>
      <c r="E19" s="18" t="n">
        <f aca="false">E18+1</f>
        <v>45336</v>
      </c>
      <c r="F19" s="13" t="n">
        <f aca="false">WEEKDAY(E19)</f>
        <v>4</v>
      </c>
      <c r="G19" s="14"/>
      <c r="H19" s="15" t="str">
        <f aca="false">IF(G19="","",G19/$C$11)</f>
        <v/>
      </c>
      <c r="I19" s="30"/>
      <c r="J19" s="14" t="s">
        <v>14</v>
      </c>
      <c r="K19" s="17" t="n">
        <f aca="false">IF(F19=7,K18,IF(F19=1,K17,K18+G19))</f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48" hidden="false" customHeight="true" outlineLevel="0" collapsed="false">
      <c r="A20" s="2"/>
      <c r="B20" s="2"/>
      <c r="C20" s="2"/>
      <c r="D20" s="2"/>
      <c r="E20" s="18" t="n">
        <f aca="false">E19+1</f>
        <v>45337</v>
      </c>
      <c r="F20" s="13" t="n">
        <f aca="false">WEEKDAY(E20)</f>
        <v>5</v>
      </c>
      <c r="G20" s="14"/>
      <c r="H20" s="15" t="str">
        <f aca="false">IF(G20="","",G20/$C$11)</f>
        <v/>
      </c>
      <c r="I20" s="31"/>
      <c r="J20" s="14" t="s">
        <v>9</v>
      </c>
      <c r="K20" s="17" t="n">
        <f aca="false">IF(F20=7,K19,IF(F20=1,K18,K19+G20))</f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44.25" hidden="false" customHeight="true" outlineLevel="0" collapsed="false">
      <c r="A21" s="2"/>
      <c r="B21" s="19" t="s">
        <v>21</v>
      </c>
      <c r="C21" s="19"/>
      <c r="D21" s="2"/>
      <c r="E21" s="18" t="n">
        <f aca="false">E20+1</f>
        <v>45338</v>
      </c>
      <c r="F21" s="13" t="n">
        <f aca="false">WEEKDAY(E21)</f>
        <v>6</v>
      </c>
      <c r="G21" s="14"/>
      <c r="H21" s="15" t="str">
        <f aca="false">IF(G21="","",G21/$C$11)</f>
        <v/>
      </c>
      <c r="I21" s="32"/>
      <c r="J21" s="14" t="s">
        <v>14</v>
      </c>
      <c r="K21" s="17" t="n">
        <f aca="false">IF(F21=7,K20,IF(F21=1,K19,K20+G21))</f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43.5" hidden="false" customHeight="true" outlineLevel="0" collapsed="false">
      <c r="A22" s="2"/>
      <c r="B22" s="33" t="str">
        <f aca="false">IF(C10="Papéis","R$ por ação","Pontos")</f>
        <v>Pontos</v>
      </c>
      <c r="C22" s="34"/>
      <c r="D22" s="2"/>
      <c r="E22" s="18" t="n">
        <f aca="false">E21+1</f>
        <v>45339</v>
      </c>
      <c r="F22" s="13" t="n">
        <f aca="false">WEEKDAY(E22)</f>
        <v>7</v>
      </c>
      <c r="G22" s="14"/>
      <c r="H22" s="15" t="str">
        <f aca="false">IF(G22="","",G22/$C$11)</f>
        <v/>
      </c>
      <c r="I22" s="16"/>
      <c r="J22" s="14" t="s">
        <v>14</v>
      </c>
      <c r="K22" s="17" t="n">
        <f aca="false">IF(F22=7,K21,IF(F22=1,K20,K21+G22))</f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44.25" hidden="false" customHeight="true" outlineLevel="0" collapsed="false">
      <c r="A23" s="2"/>
      <c r="B23" s="25" t="s">
        <v>22</v>
      </c>
      <c r="C23" s="27" t="n">
        <v>6</v>
      </c>
      <c r="D23" s="2"/>
      <c r="E23" s="18" t="n">
        <f aca="false">E22+1</f>
        <v>45340</v>
      </c>
      <c r="F23" s="13" t="n">
        <f aca="false">WEEKDAY(E23)</f>
        <v>1</v>
      </c>
      <c r="G23" s="14"/>
      <c r="H23" s="15" t="str">
        <f aca="false">IF(G23="","",G23/$C$11)</f>
        <v/>
      </c>
      <c r="I23" s="16"/>
      <c r="J23" s="14" t="s">
        <v>9</v>
      </c>
      <c r="K23" s="17" t="n">
        <f aca="false">IF(F23=7,K22,IF(F23=1,K21,K22+G23))</f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45" hidden="false" customHeight="true" outlineLevel="0" collapsed="false">
      <c r="A24" s="2"/>
      <c r="B24" s="25" t="s">
        <v>23</v>
      </c>
      <c r="C24" s="27" t="n">
        <v>4</v>
      </c>
      <c r="D24" s="2"/>
      <c r="E24" s="18" t="n">
        <f aca="false">E23+1</f>
        <v>45341</v>
      </c>
      <c r="F24" s="13" t="n">
        <f aca="false">WEEKDAY(E24)</f>
        <v>2</v>
      </c>
      <c r="G24" s="14"/>
      <c r="H24" s="15" t="str">
        <f aca="false">IF(G24="","",G24/$C$11)</f>
        <v/>
      </c>
      <c r="I24" s="16"/>
      <c r="J24" s="14" t="s">
        <v>9</v>
      </c>
      <c r="K24" s="17" t="n">
        <f aca="false">IF(F24=7,K23,IF(F24=1,K22,K23+G24))</f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25" t="s">
        <v>24</v>
      </c>
      <c r="C25" s="35" t="str">
        <f aca="false">ROUND(C23/C24,1)&amp;" x 1"</f>
        <v>1.5 x 1</v>
      </c>
      <c r="D25" s="2"/>
      <c r="E25" s="18" t="n">
        <f aca="false">E24+1</f>
        <v>45342</v>
      </c>
      <c r="F25" s="13" t="n">
        <f aca="false">WEEKDAY(E25)</f>
        <v>3</v>
      </c>
      <c r="G25" s="14"/>
      <c r="H25" s="15" t="str">
        <f aca="false">IF(G25="","",G25/$C$11)</f>
        <v/>
      </c>
      <c r="I25" s="16"/>
      <c r="J25" s="14" t="s">
        <v>14</v>
      </c>
      <c r="K25" s="17" t="n">
        <f aca="false">IF(F25=7,K24,IF(F25=1,K23,K24+G25))</f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33" t="s">
        <v>25</v>
      </c>
      <c r="C26" s="34"/>
      <c r="D26" s="2"/>
      <c r="E26" s="18" t="n">
        <f aca="false">E25+1</f>
        <v>45343</v>
      </c>
      <c r="F26" s="13" t="n">
        <f aca="false">WEEKDAY(E26)</f>
        <v>4</v>
      </c>
      <c r="G26" s="14"/>
      <c r="H26" s="15" t="str">
        <f aca="false">IF(G26="","",G26/$C$11)</f>
        <v/>
      </c>
      <c r="I26" s="16"/>
      <c r="J26" s="14" t="s">
        <v>14</v>
      </c>
      <c r="K26" s="17" t="n">
        <f aca="false">IF(F26=7,K25,IF(F26=1,K24,K25+G26))</f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25" t="s">
        <v>22</v>
      </c>
      <c r="C27" s="36" t="n">
        <f aca="false">IF(C10="Mini Dólar",C23*10*C12,IF(C10="Mini Índice",C23*0.2*C12,C23*C12))</f>
        <v>180</v>
      </c>
      <c r="D27" s="2"/>
      <c r="E27" s="18" t="n">
        <f aca="false">E26+1</f>
        <v>45344</v>
      </c>
      <c r="F27" s="13" t="n">
        <f aca="false">WEEKDAY(E27)</f>
        <v>5</v>
      </c>
      <c r="G27" s="14"/>
      <c r="H27" s="15" t="str">
        <f aca="false">IF(G27="","",G27/$C$11)</f>
        <v/>
      </c>
      <c r="I27" s="16"/>
      <c r="J27" s="14" t="s">
        <v>14</v>
      </c>
      <c r="K27" s="17" t="n">
        <f aca="false">IF(F27=7,K26,IF(F27=1,K25,K26+G27))</f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6.5" hidden="false" customHeight="true" outlineLevel="0" collapsed="false">
      <c r="A28" s="2"/>
      <c r="B28" s="25" t="s">
        <v>23</v>
      </c>
      <c r="C28" s="36" t="n">
        <f aca="false">IF(C10="Mini Dólar",C24*10*C12,IF(C10="Mini Índice",C24*0.2*C12,C24*C12))</f>
        <v>120</v>
      </c>
      <c r="D28" s="2"/>
      <c r="E28" s="18" t="n">
        <f aca="false">E27+1</f>
        <v>45345</v>
      </c>
      <c r="F28" s="13" t="n">
        <f aca="false">WEEKDAY(E28)</f>
        <v>6</v>
      </c>
      <c r="G28" s="14"/>
      <c r="H28" s="15" t="str">
        <f aca="false">IF(G28="","",G28/$C$11)</f>
        <v/>
      </c>
      <c r="I28" s="16"/>
      <c r="J28" s="14" t="s">
        <v>9</v>
      </c>
      <c r="K28" s="17" t="n">
        <f aca="false">IF(F28=7,K27,IF(F28=1,K26,K27+G28))</f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25" t="s">
        <v>24</v>
      </c>
      <c r="C29" s="35" t="str">
        <f aca="false">ROUND(C27/C28,1)&amp;" x 1"</f>
        <v>1.5 x 1</v>
      </c>
      <c r="D29" s="2"/>
      <c r="E29" s="18" t="n">
        <f aca="false">E28+1</f>
        <v>45346</v>
      </c>
      <c r="F29" s="13" t="n">
        <f aca="false">WEEKDAY(E29)</f>
        <v>7</v>
      </c>
      <c r="G29" s="14"/>
      <c r="H29" s="15" t="str">
        <f aca="false">IF(G29="","",G29/$C$11)</f>
        <v/>
      </c>
      <c r="I29" s="16"/>
      <c r="J29" s="14" t="s">
        <v>9</v>
      </c>
      <c r="K29" s="17" t="n">
        <f aca="false">IF(F29=7,K28,IF(F29=1,K27,K28+G29))</f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18" t="n">
        <f aca="false">E29+1</f>
        <v>45347</v>
      </c>
      <c r="F30" s="13" t="n">
        <f aca="false">WEEKDAY(E30)</f>
        <v>1</v>
      </c>
      <c r="G30" s="14"/>
      <c r="H30" s="15" t="str">
        <f aca="false">IF(G30="","",G30/$C$11)</f>
        <v/>
      </c>
      <c r="I30" s="16"/>
      <c r="J30" s="14" t="s">
        <v>9</v>
      </c>
      <c r="K30" s="17" t="n">
        <f aca="false">IF(F30=7,K29,IF(F30=1,K28,K29+G30))</f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2"/>
      <c r="B31" s="19" t="s">
        <v>6</v>
      </c>
      <c r="C31" s="37"/>
      <c r="D31" s="2"/>
      <c r="E31" s="18" t="n">
        <f aca="false">E30+1</f>
        <v>45348</v>
      </c>
      <c r="F31" s="13" t="n">
        <f aca="false">WEEKDAY(E31)</f>
        <v>2</v>
      </c>
      <c r="G31" s="14"/>
      <c r="H31" s="15" t="str">
        <f aca="false">IF(G31="","",G31/$C$11)</f>
        <v/>
      </c>
      <c r="I31" s="16"/>
      <c r="J31" s="14" t="s">
        <v>9</v>
      </c>
      <c r="K31" s="17" t="n">
        <f aca="false">IF(F31=7,K30,IF(F31=1,K29,K30+G31))</f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33" t="s">
        <v>26</v>
      </c>
      <c r="C32" s="34"/>
      <c r="D32" s="2"/>
      <c r="E32" s="18" t="n">
        <f aca="false">E31+1</f>
        <v>45349</v>
      </c>
      <c r="F32" s="13" t="n">
        <f aca="false">WEEKDAY(E32)</f>
        <v>3</v>
      </c>
      <c r="G32" s="14"/>
      <c r="H32" s="15" t="str">
        <f aca="false">IF(G32="","",G32/$C$11)</f>
        <v/>
      </c>
      <c r="I32" s="16"/>
      <c r="J32" s="14" t="s">
        <v>14</v>
      </c>
      <c r="K32" s="17" t="n">
        <f aca="false">IF(F32=7,K31,IF(F32=1,K30,K31+G32))</f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2"/>
      <c r="B33" s="25" t="s">
        <v>14</v>
      </c>
      <c r="C33" s="38" t="n">
        <f aca="false">IFERROR(COUNTIF($J$6:$J$36,B33)/COUNTA($J$6:$J$36),"---")</f>
        <v>0.32258064516129</v>
      </c>
      <c r="D33" s="2"/>
      <c r="E33" s="18" t="n">
        <f aca="false">E32+1</f>
        <v>45350</v>
      </c>
      <c r="F33" s="13" t="n">
        <f aca="false">WEEKDAY(E33)</f>
        <v>4</v>
      </c>
      <c r="G33" s="14"/>
      <c r="H33" s="15" t="str">
        <f aca="false">IF(G33="","",G33/$C$11)</f>
        <v/>
      </c>
      <c r="I33" s="16"/>
      <c r="J33" s="14" t="s">
        <v>14</v>
      </c>
      <c r="K33" s="17" t="n">
        <f aca="false">IF(F33=7,K32,IF(F33=1,K31,K32+G33))</f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25" t="s">
        <v>9</v>
      </c>
      <c r="C34" s="38" t="n">
        <f aca="false">IFERROR(COUNTIF($J$6:$J$36,B34)/COUNTA($J$6:$J$36),"---")</f>
        <v>0.67741935483871</v>
      </c>
      <c r="D34" s="2"/>
      <c r="E34" s="18" t="n">
        <f aca="false">E33+1</f>
        <v>45351</v>
      </c>
      <c r="F34" s="13" t="n">
        <f aca="false">WEEKDAY(E34)</f>
        <v>5</v>
      </c>
      <c r="G34" s="14"/>
      <c r="H34" s="15" t="str">
        <f aca="false">IF(G34="","",G34/$C$11)</f>
        <v/>
      </c>
      <c r="I34" s="16"/>
      <c r="J34" s="14" t="s">
        <v>14</v>
      </c>
      <c r="K34" s="17" t="n">
        <f aca="false">IF(F34=7,K33,IF(F34=1,K32,K33+G34))</f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25" t="s">
        <v>27</v>
      </c>
      <c r="C35" s="38" t="n">
        <f aca="false">IFERROR(COUNTIF($J$6:$J$36,B35)/COUNTA($J$6:$J$36),"---")</f>
        <v>0</v>
      </c>
      <c r="D35" s="2"/>
      <c r="E35" s="18" t="n">
        <f aca="false">E34+1</f>
        <v>45352</v>
      </c>
      <c r="F35" s="13" t="n">
        <f aca="false">WEEKDAY(E35)</f>
        <v>6</v>
      </c>
      <c r="G35" s="14"/>
      <c r="H35" s="15" t="str">
        <f aca="false">IF(G35="","",G35/$C$11)</f>
        <v/>
      </c>
      <c r="I35" s="16"/>
      <c r="J35" s="14" t="s">
        <v>9</v>
      </c>
      <c r="K35" s="17" t="n">
        <f aca="false">IF(F35=7,K34,IF(F35=1,K33,K34+G35))</f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39"/>
      <c r="C36" s="39"/>
      <c r="D36" s="2"/>
      <c r="E36" s="18" t="n">
        <f aca="false">IF(DAY(E35+1)=1,"",E35+1)</f>
        <v>45353</v>
      </c>
      <c r="F36" s="13" t="n">
        <f aca="false">IF(E36="","",WEEKDAY(E36))</f>
        <v>7</v>
      </c>
      <c r="G36" s="14"/>
      <c r="H36" s="15" t="str">
        <f aca="false">IF(G36="","",G36/$C$11)</f>
        <v/>
      </c>
      <c r="I36" s="16"/>
      <c r="J36" s="14" t="s">
        <v>9</v>
      </c>
      <c r="K36" s="17" t="n">
        <f aca="false">IF(F36=7,K35,IF(F36=1,K34,K35+G36))</f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7.5" hidden="false" customHeight="true" outlineLevel="0" collapsed="false">
      <c r="A37" s="2"/>
      <c r="B37" s="39"/>
      <c r="C37" s="39"/>
      <c r="D37" s="2"/>
      <c r="E37" s="2"/>
      <c r="F37" s="2"/>
      <c r="G37" s="2"/>
      <c r="H37" s="2"/>
      <c r="I37" s="2"/>
      <c r="J37" s="2"/>
      <c r="K37" s="28"/>
      <c r="L37" s="36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39"/>
      <c r="C38" s="39"/>
      <c r="D38" s="2"/>
      <c r="E38" s="40" t="s">
        <v>28</v>
      </c>
      <c r="F38" s="40"/>
      <c r="G38" s="41" t="n">
        <f aca="false">SUM(G6:G36)</f>
        <v>0</v>
      </c>
      <c r="H38" s="15" t="n">
        <f aca="false">IF(G38="","",G38/$C$11)</f>
        <v>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39"/>
      <c r="C39" s="39"/>
      <c r="D39" s="2"/>
      <c r="E39" s="2"/>
      <c r="F39" s="2"/>
      <c r="G39" s="2"/>
      <c r="H39" s="2"/>
      <c r="I39" s="28"/>
      <c r="J39" s="28"/>
      <c r="K39" s="42"/>
      <c r="L39" s="38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39"/>
      <c r="D40" s="2"/>
      <c r="E40" s="2"/>
      <c r="F40" s="2"/>
      <c r="G40" s="2"/>
      <c r="H40" s="2"/>
      <c r="I40" s="2"/>
      <c r="J40" s="2"/>
      <c r="K40" s="2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35"/>
      <c r="E42" s="35"/>
      <c r="F42" s="35"/>
      <c r="G42" s="35"/>
      <c r="H42" s="35"/>
      <c r="I42" s="35"/>
      <c r="J42" s="35"/>
      <c r="K42" s="35"/>
      <c r="L42" s="35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42" t="s">
        <v>29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43" t="s">
        <v>30</v>
      </c>
      <c r="C55" s="44"/>
      <c r="D55" s="2"/>
      <c r="E55" s="45" t="s">
        <v>31</v>
      </c>
      <c r="F55" s="45"/>
      <c r="G55" s="45"/>
      <c r="H55" s="45"/>
      <c r="I55" s="45"/>
      <c r="J55" s="45"/>
      <c r="K55" s="45"/>
      <c r="L55" s="4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47" t="s">
        <v>32</v>
      </c>
      <c r="C56" s="47"/>
      <c r="D56" s="2"/>
      <c r="E56" s="47"/>
      <c r="F56" s="47"/>
      <c r="G56" s="47"/>
      <c r="H56" s="47"/>
      <c r="I56" s="47"/>
      <c r="J56" s="47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47" t="s">
        <v>33</v>
      </c>
      <c r="C57" s="47"/>
      <c r="D57" s="2"/>
      <c r="E57" s="47"/>
      <c r="F57" s="47"/>
      <c r="G57" s="47"/>
      <c r="H57" s="47"/>
      <c r="I57" s="47"/>
      <c r="J57" s="47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47" t="s">
        <v>34</v>
      </c>
      <c r="C58" s="47"/>
      <c r="D58" s="2"/>
      <c r="E58" s="47"/>
      <c r="F58" s="47"/>
      <c r="G58" s="47"/>
      <c r="H58" s="47"/>
      <c r="I58" s="47"/>
      <c r="J58" s="47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48" t="s">
        <v>35</v>
      </c>
      <c r="C59" s="48"/>
      <c r="D59" s="2"/>
      <c r="E59" s="48"/>
      <c r="F59" s="48"/>
      <c r="G59" s="48"/>
      <c r="H59" s="48"/>
      <c r="I59" s="48"/>
      <c r="J59" s="48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" hidden="false" customHeight="true" outlineLevel="0" collapsed="false">
      <c r="A60" s="2"/>
      <c r="B60" s="49"/>
      <c r="C60" s="49"/>
      <c r="D60" s="49"/>
      <c r="E60" s="49"/>
      <c r="F60" s="49"/>
      <c r="G60" s="49"/>
      <c r="H60" s="49"/>
      <c r="I60" s="50"/>
      <c r="J60" s="50"/>
      <c r="K60" s="50"/>
      <c r="L60" s="46" t="s">
        <v>36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6">
    <mergeCell ref="B1:K4"/>
    <mergeCell ref="E5:F5"/>
    <mergeCell ref="B6:B7"/>
    <mergeCell ref="C6:C7"/>
    <mergeCell ref="E38:F38"/>
    <mergeCell ref="E55:K55"/>
    <mergeCell ref="B56:C56"/>
    <mergeCell ref="E56:K56"/>
    <mergeCell ref="B57:C57"/>
    <mergeCell ref="E57:K57"/>
    <mergeCell ref="B58:C58"/>
    <mergeCell ref="E58:K58"/>
    <mergeCell ref="B59:C59"/>
    <mergeCell ref="E59:K59"/>
    <mergeCell ref="B60:H60"/>
    <mergeCell ref="I60:K60"/>
  </mergeCells>
  <conditionalFormatting sqref="G6:H36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C18:C19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G38:H38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conditionalFormatting sqref="F6:J36">
    <cfRule type="expression" priority="8" aboveAverage="0" equalAverage="0" bottom="0" percent="0" rank="0" text="" dxfId="2">
      <formula>$F6=7</formula>
    </cfRule>
    <cfRule type="expression" priority="9" aboveAverage="0" equalAverage="0" bottom="0" percent="0" rank="0" text="" dxfId="2">
      <formula>$F6=1</formula>
    </cfRule>
  </conditionalFormatting>
  <conditionalFormatting sqref="K6:K36">
    <cfRule type="cellIs" priority="10" operator="lessThan" aboveAverage="0" equalAverage="0" bottom="0" percent="0" rank="0" text="" dxfId="0">
      <formula>0</formula>
    </cfRule>
    <cfRule type="cellIs" priority="11" operator="greaterThan" aboveAverage="0" equalAverage="0" bottom="0" percent="0" rank="0" text="" dxfId="1">
      <formula>0</formula>
    </cfRule>
    <cfRule type="expression" priority="12" aboveAverage="0" equalAverage="0" bottom="0" percent="0" rank="0" text="" dxfId="2">
      <formula>$F6=7</formula>
    </cfRule>
    <cfRule type="expression" priority="13" aboveAverage="0" equalAverage="0" bottom="0" percent="0" rank="0" text="" dxfId="2">
      <formula>$F6=1</formula>
    </cfRule>
  </conditionalFormatting>
  <conditionalFormatting sqref="I39:J39 L39">
    <cfRule type="expression" priority="14" aboveAverage="0" equalAverage="0" bottom="0" percent="0" rank="0" text="" dxfId="2">
      <formula>$E38=1</formula>
    </cfRule>
    <cfRule type="expression" priority="15" aboveAverage="0" equalAverage="0" bottom="0" percent="0" rank="0" text="" dxfId="2">
      <formula>$E38=7</formula>
    </cfRule>
  </conditionalFormatting>
  <conditionalFormatting sqref="G38">
    <cfRule type="expression" priority="16" aboveAverage="0" equalAverage="0" bottom="0" percent="0" rank="0" text="" dxfId="2">
      <formula>$E38=1</formula>
    </cfRule>
    <cfRule type="expression" priority="17" aboveAverage="0" equalAverage="0" bottom="0" percent="0" rank="0" text="" dxfId="2">
      <formula>$E38=7</formula>
    </cfRule>
  </conditionalFormatting>
  <conditionalFormatting sqref="C23:C24">
    <cfRule type="expression" priority="18" aboveAverage="0" equalAverage="0" bottom="0" percent="0" rank="0" text="" dxfId="3">
      <formula>$C$10="Papéis"</formula>
    </cfRule>
  </conditionalFormatting>
  <conditionalFormatting sqref="J6:J36">
    <cfRule type="cellIs" priority="19" operator="equal" aboveAverage="0" equalAverage="0" bottom="0" percent="0" rank="0" text="" dxfId="4">
      <formula>"Ruim"</formula>
    </cfRule>
    <cfRule type="cellIs" priority="20" operator="equal" aboveAverage="0" equalAverage="0" bottom="0" percent="0" rank="0" text="" dxfId="5">
      <formula>"Neutro"</formula>
    </cfRule>
    <cfRule type="cellIs" priority="21" operator="equal" aboveAverage="0" equalAverage="0" bottom="0" percent="0" rank="0" text="" dxfId="6">
      <formula>"Bom"</formula>
    </cfRule>
  </conditionalFormatting>
  <dataValidations count="2">
    <dataValidation allowBlank="true" errorStyle="stop" operator="between" showDropDown="false" showErrorMessage="true" showInputMessage="false" sqref="J6:J36" type="list">
      <formula1>"Bom,Neutro,Ruim"</formula1>
      <formula2>0</formula2>
    </dataValidation>
    <dataValidation allowBlank="true" errorStyle="stop" operator="between" showDropDown="false" showErrorMessage="true" showInputMessage="false" sqref="C10" type="list">
      <formula1>"Mini Índice,Mini Dólar,Papéis"</formula1>
      <formula2>0</formula2>
    </dataValidation>
  </dataValidations>
  <printOptions headings="false" gridLines="false" gridLinesSet="true" horizontalCentered="true" verticalCentered="true"/>
  <pageMargins left="0.236111111111111" right="0.236111111111111" top="0.747916666666667" bottom="0.747916666666667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FF"/>
    <pageSetUpPr fitToPage="tru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" min="1" style="1" width="3.67"/>
    <col collapsed="false" customWidth="true" hidden="false" outlineLevel="0" max="3" min="3" style="1" width="11.89"/>
    <col collapsed="false" customWidth="true" hidden="false" outlineLevel="0" max="4" min="4" style="1" width="7"/>
    <col collapsed="false" customWidth="true" hidden="false" outlineLevel="0" max="5" min="5" style="1" width="11.33"/>
    <col collapsed="false" customWidth="true" hidden="false" outlineLevel="0" max="7" min="6" style="1" width="9.11"/>
    <col collapsed="false" customWidth="true" hidden="false" outlineLevel="0" max="8" min="8" style="1" width="6.44"/>
    <col collapsed="false" customWidth="true" hidden="false" outlineLevel="0" max="14" min="9" style="1" width="9.11"/>
    <col collapsed="false" customWidth="true" hidden="false" outlineLevel="0" max="15" min="15" style="1" width="12.56"/>
    <col collapsed="false" customWidth="true" hidden="false" outlineLevel="0" max="16" min="16" style="1" width="11.56"/>
    <col collapsed="false" customWidth="true" hidden="false" outlineLevel="0" max="17" min="17" style="1" width="4"/>
    <col collapsed="false" customWidth="true" hidden="false" outlineLevel="0" max="26" min="18" style="1" width="8.67"/>
  </cols>
  <sheetData>
    <row r="1" customFormat="false" ht="15" hidden="false" customHeight="true" outlineLevel="0" collapsed="false">
      <c r="A1" s="2"/>
      <c r="B1" s="2"/>
      <c r="C1" s="51"/>
      <c r="D1" s="51"/>
      <c r="E1" s="51"/>
      <c r="F1" s="51"/>
      <c r="G1" s="51"/>
      <c r="H1" s="51"/>
      <c r="I1" s="5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2"/>
      <c r="B2" s="52"/>
      <c r="C2" s="53"/>
      <c r="D2" s="53"/>
      <c r="E2" s="53"/>
      <c r="F2" s="53"/>
      <c r="G2" s="53"/>
      <c r="H2" s="53"/>
      <c r="I2" s="53"/>
      <c r="J2" s="54"/>
      <c r="K2" s="54"/>
      <c r="L2" s="54"/>
      <c r="M2" s="54"/>
      <c r="N2" s="54"/>
      <c r="O2" s="54"/>
      <c r="P2" s="55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"/>
      <c r="B3" s="56"/>
      <c r="C3" s="57" t="s">
        <v>37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2"/>
      <c r="P3" s="58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true" outlineLevel="0" collapsed="false">
      <c r="A4" s="2"/>
      <c r="B4" s="56"/>
      <c r="C4" s="51"/>
      <c r="D4" s="51"/>
      <c r="E4" s="51"/>
      <c r="F4" s="51"/>
      <c r="G4" s="51"/>
      <c r="H4" s="51"/>
      <c r="I4" s="51"/>
      <c r="J4" s="2"/>
      <c r="K4" s="2"/>
      <c r="L4" s="2"/>
      <c r="M4" s="2"/>
      <c r="N4" s="2"/>
      <c r="O4" s="2"/>
      <c r="P4" s="58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"/>
      <c r="B5" s="56"/>
      <c r="C5" s="59" t="s">
        <v>38</v>
      </c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2"/>
      <c r="P5" s="58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"/>
      <c r="B6" s="56"/>
      <c r="C6" s="51"/>
      <c r="D6" s="51"/>
      <c r="E6" s="51"/>
      <c r="F6" s="51"/>
      <c r="G6" s="51"/>
      <c r="H6" s="51"/>
      <c r="I6" s="51"/>
      <c r="J6" s="2"/>
      <c r="K6" s="2"/>
      <c r="L6" s="2"/>
      <c r="M6" s="2"/>
      <c r="N6" s="2"/>
      <c r="O6" s="2"/>
      <c r="P6" s="58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"/>
      <c r="B7" s="56"/>
      <c r="C7" s="60" t="s">
        <v>39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2"/>
      <c r="P7" s="58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56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2"/>
      <c r="P8" s="58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9.5" hidden="false" customHeight="true" outlineLevel="0" collapsed="false">
      <c r="A9" s="2"/>
      <c r="B9" s="56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2"/>
      <c r="P9" s="58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56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2"/>
      <c r="P10" s="58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56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2"/>
      <c r="P11" s="58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56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2"/>
      <c r="P12" s="58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56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2"/>
      <c r="P13" s="58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56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2"/>
      <c r="P14" s="58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56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2"/>
      <c r="P15" s="58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56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2"/>
      <c r="P16" s="58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56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2"/>
      <c r="P17" s="58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"/>
      <c r="B18" s="56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2"/>
      <c r="P18" s="58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56"/>
      <c r="C19" s="61"/>
      <c r="D19" s="2"/>
      <c r="E19" s="2"/>
      <c r="F19" s="2"/>
      <c r="G19" s="2"/>
      <c r="H19" s="2"/>
      <c r="I19" s="62"/>
      <c r="J19" s="2"/>
      <c r="K19" s="2"/>
      <c r="L19" s="2"/>
      <c r="M19" s="2"/>
      <c r="N19" s="2"/>
      <c r="O19" s="2"/>
      <c r="P19" s="58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"/>
      <c r="B20" s="63"/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6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52"/>
      <c r="C22" s="53"/>
      <c r="D22" s="53"/>
      <c r="E22" s="53"/>
      <c r="F22" s="53"/>
      <c r="G22" s="53"/>
      <c r="H22" s="53"/>
      <c r="I22" s="53"/>
      <c r="J22" s="54"/>
      <c r="K22" s="54"/>
      <c r="L22" s="54"/>
      <c r="M22" s="54"/>
      <c r="N22" s="54"/>
      <c r="O22" s="54"/>
      <c r="P22" s="55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56"/>
      <c r="C23" s="67" t="s">
        <v>40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2"/>
      <c r="P23" s="58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56"/>
      <c r="C24" s="2"/>
      <c r="D24" s="2"/>
      <c r="E24" s="2"/>
      <c r="F24" s="68"/>
      <c r="G24" s="2"/>
      <c r="H24" s="69"/>
      <c r="I24" s="51"/>
      <c r="J24" s="2"/>
      <c r="K24" s="2"/>
      <c r="L24" s="2"/>
      <c r="M24" s="2"/>
      <c r="N24" s="2"/>
      <c r="O24" s="2"/>
      <c r="P24" s="58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56"/>
      <c r="C25" s="70" t="s">
        <v>41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2"/>
      <c r="P25" s="58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56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2"/>
      <c r="P26" s="58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63"/>
      <c r="C27" s="71"/>
      <c r="D27" s="71"/>
      <c r="E27" s="71"/>
      <c r="F27" s="71"/>
      <c r="G27" s="71"/>
      <c r="H27" s="71"/>
      <c r="I27" s="71"/>
      <c r="J27" s="65"/>
      <c r="K27" s="65"/>
      <c r="L27" s="65"/>
      <c r="M27" s="65"/>
      <c r="N27" s="65"/>
      <c r="O27" s="65"/>
      <c r="P27" s="6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7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C3:N3"/>
    <mergeCell ref="C5:N5"/>
    <mergeCell ref="C7:N18"/>
    <mergeCell ref="C23:N23"/>
    <mergeCell ref="C25:N26"/>
    <mergeCell ref="A29:Q29"/>
  </mergeCells>
  <printOptions headings="false" gridLines="false" gridLinesSet="true" horizontalCentered="tru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2017-11-22T00:49:33Z</dcterms:created>
  <dc:creator>usuario</dc:creator>
  <dc:description/>
  <dc:language>en-US</dc:language>
  <cp:lastModifiedBy/>
  <dcterms:modified xsi:type="dcterms:W3CDTF">2026-09-08T22:52:52Z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